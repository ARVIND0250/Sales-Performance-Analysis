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rvin\Downloads\"/>
    </mc:Choice>
  </mc:AlternateContent>
  <xr:revisionPtr revIDLastSave="0" documentId="8_{BA1258FE-4F79-41BE-897B-ABA6A44242B5}" xr6:coauthVersionLast="47" xr6:coauthVersionMax="47" xr10:uidLastSave="{00000000-0000-0000-0000-000000000000}"/>
  <bookViews>
    <workbookView xWindow="-120" yWindow="-120" windowWidth="29040" windowHeight="15720" activeTab="3" xr2:uid="{BA6A50AF-D73E-451D-8DCE-C2BEB1DF65A4}"/>
  </bookViews>
  <sheets>
    <sheet name="Raw Data" sheetId="8" r:id="rId1"/>
    <sheet name="Project overview" sheetId="11" r:id="rId2"/>
    <sheet name="project insights" sheetId="10" r:id="rId3"/>
    <sheet name="Dashboard" sheetId="9" r:id="rId4"/>
  </sheets>
  <definedNames>
    <definedName name="Slicer_Salesperson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<sst xmlns="http://schemas.openxmlformats.org/spreadsheetml/2006/main" count="3580" uniqueCount="608">
  <si>
    <t>Order ID</t>
  </si>
  <si>
    <t>Order Date</t>
  </si>
  <si>
    <t>Region</t>
  </si>
  <si>
    <t>State</t>
  </si>
  <si>
    <t>Category</t>
  </si>
  <si>
    <t>Sub-Category</t>
  </si>
  <si>
    <t>Product</t>
  </si>
  <si>
    <t>Salesperson</t>
  </si>
  <si>
    <t>Quantity</t>
  </si>
  <si>
    <t>Unit Price</t>
  </si>
  <si>
    <t>Discount</t>
  </si>
  <si>
    <t>Sales</t>
  </si>
  <si>
    <t>Cost</t>
  </si>
  <si>
    <t>Profit</t>
  </si>
  <si>
    <t>ORD-0001</t>
  </si>
  <si>
    <t>North</t>
  </si>
  <si>
    <t>Haryana</t>
  </si>
  <si>
    <t>Office Supplies</t>
  </si>
  <si>
    <t>Printers</t>
  </si>
  <si>
    <t>Inkjet Printer</t>
  </si>
  <si>
    <t>Neha</t>
  </si>
  <si>
    <t>ORD-0002</t>
  </si>
  <si>
    <t>Uttar Pradesh</t>
  </si>
  <si>
    <t>Technology</t>
  </si>
  <si>
    <t>Laptops</t>
  </si>
  <si>
    <t>HP Laptop</t>
  </si>
  <si>
    <t>ORD-0003</t>
  </si>
  <si>
    <t>East</t>
  </si>
  <si>
    <t>Bihar</t>
  </si>
  <si>
    <t>Furniture</t>
  </si>
  <si>
    <t>Tables</t>
  </si>
  <si>
    <t>Study Table</t>
  </si>
  <si>
    <t>ORD-0004</t>
  </si>
  <si>
    <t>South</t>
  </si>
  <si>
    <t>Karnataka</t>
  </si>
  <si>
    <t>Mobiles</t>
  </si>
  <si>
    <t>Samsung Mobile</t>
  </si>
  <si>
    <t>Rahul</t>
  </si>
  <si>
    <t>ORD-0005</t>
  </si>
  <si>
    <t>Accessories</t>
  </si>
  <si>
    <t>Keyboard</t>
  </si>
  <si>
    <t>Pooja</t>
  </si>
  <si>
    <t>ORD-0006</t>
  </si>
  <si>
    <t>West</t>
  </si>
  <si>
    <t>Maharashtra</t>
  </si>
  <si>
    <t>Priya</t>
  </si>
  <si>
    <t>ORD-0007</t>
  </si>
  <si>
    <t>Chairs</t>
  </si>
  <si>
    <t>Visitor Chair</t>
  </si>
  <si>
    <t>ORD-0008</t>
  </si>
  <si>
    <t>Goa</t>
  </si>
  <si>
    <t>Conference Table</t>
  </si>
  <si>
    <t>ORD-0009</t>
  </si>
  <si>
    <t>Rajasthan</t>
  </si>
  <si>
    <t>Office Table</t>
  </si>
  <si>
    <t>Amit</t>
  </si>
  <si>
    <t>ORD-0010</t>
  </si>
  <si>
    <t>Jharkhand</t>
  </si>
  <si>
    <t>ORD-0011</t>
  </si>
  <si>
    <t>Tamil Nadu</t>
  </si>
  <si>
    <t>ORD-0012</t>
  </si>
  <si>
    <t>West Bengal</t>
  </si>
  <si>
    <t>ORD-0013</t>
  </si>
  <si>
    <t>Telangana</t>
  </si>
  <si>
    <t>OnePlus Mobile</t>
  </si>
  <si>
    <t>ORD-0014</t>
  </si>
  <si>
    <t>ORD-0015</t>
  </si>
  <si>
    <t>Punjab</t>
  </si>
  <si>
    <t>Office Chair</t>
  </si>
  <si>
    <t>ORD-0016</t>
  </si>
  <si>
    <t>Vikas</t>
  </si>
  <si>
    <t>ORD-0017</t>
  </si>
  <si>
    <t>ORD-0018</t>
  </si>
  <si>
    <t>Kerala</t>
  </si>
  <si>
    <t>ORD-0019</t>
  </si>
  <si>
    <t>Gujarat</t>
  </si>
  <si>
    <t>Lenovo Laptop</t>
  </si>
  <si>
    <t>ORD-0020</t>
  </si>
  <si>
    <t>Stationery</t>
  </si>
  <si>
    <t>Pen Set</t>
  </si>
  <si>
    <t>ORD-0021</t>
  </si>
  <si>
    <t>ORD-0022</t>
  </si>
  <si>
    <t>Notebook Pack</t>
  </si>
  <si>
    <t>ORD-0023</t>
  </si>
  <si>
    <t>Executive Chair</t>
  </si>
  <si>
    <t>ORD-0024</t>
  </si>
  <si>
    <t>ORD-0025</t>
  </si>
  <si>
    <t>ORD-0026</t>
  </si>
  <si>
    <t>ORD-0027</t>
  </si>
  <si>
    <t>Wireless Mouse</t>
  </si>
  <si>
    <t>ORD-0028</t>
  </si>
  <si>
    <t>File Folder</t>
  </si>
  <si>
    <t>ORD-0029</t>
  </si>
  <si>
    <t>Headset</t>
  </si>
  <si>
    <t>ORD-0030</t>
  </si>
  <si>
    <t>ORD-0031</t>
  </si>
  <si>
    <t>ORD-0032</t>
  </si>
  <si>
    <t>ORD-0033</t>
  </si>
  <si>
    <t>ORD-0034</t>
  </si>
  <si>
    <t>Laser Printer</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</si>
  <si>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</si>
  <si>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</si>
  <si>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</si>
  <si>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</si>
  <si>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</si>
  <si>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</si>
  <si>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</si>
  <si>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</si>
  <si>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</si>
  <si>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</si>
  <si>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</si>
  <si>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</si>
  <si>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</si>
  <si>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</si>
  <si>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</si>
  <si>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</si>
  <si>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</si>
  <si>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</si>
  <si>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Odisha</t>
  </si>
  <si>
    <t>ORD-0053</t>
  </si>
  <si>
    <t>ORD-0054</t>
  </si>
  <si>
    <t>ORD-0055</t>
  </si>
  <si>
    <t>ORD-0056</t>
  </si>
  <si>
    <t>ORD-0057</t>
  </si>
  <si>
    <t>ORD-0058</t>
  </si>
  <si>
    <t>ORD-0059</t>
  </si>
  <si>
    <t>ORD-0060</t>
  </si>
  <si>
    <t>ORD-0061</t>
  </si>
  <si>
    <t>Delhi</t>
  </si>
  <si>
    <t>Dell Laptop</t>
  </si>
  <si>
    <t>ORD-0062</t>
  </si>
  <si>
    <t>ORD-0063</t>
  </si>
  <si>
    <t>ORD-0064</t>
  </si>
  <si>
    <t>ORD-0065</t>
  </si>
  <si>
    <t>ORD-0066</t>
  </si>
  <si>
    <t>ORD-0067</t>
  </si>
  <si>
    <t>Vivo Mobile</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</si>
  <si>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</si>
  <si>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</si>
  <si>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</si>
  <si>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</si>
  <si>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</si>
  <si>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</si>
  <si>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</si>
  <si>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</si>
  <si>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</si>
  <si>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</si>
  <si>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</si>
  <si>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</si>
  <si>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</si>
  <si>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</si>
  <si>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</si>
  <si>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</si>
  <si>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</si>
  <si>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</si>
  <si>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</si>
  <si>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</si>
  <si>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</si>
  <si>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</si>
  <si>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</si>
  <si>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</si>
  <si>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</si>
  <si>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</si>
  <si>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</si>
  <si>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</si>
  <si>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</si>
  <si>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</si>
  <si>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</si>
  <si>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</si>
  <si>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</si>
  <si>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</si>
  <si>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</si>
  <si>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</si>
  <si>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</si>
  <si>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</si>
  <si>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</si>
  <si>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</si>
  <si>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</si>
  <si>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</si>
  <si>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</si>
  <si>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</si>
  <si>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</si>
  <si>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</si>
  <si>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</si>
  <si>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</si>
  <si>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</si>
  <si>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</si>
  <si>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</si>
  <si>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</si>
  <si>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</si>
  <si>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</si>
  <si>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</si>
  <si>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</si>
  <si>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</si>
  <si>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</si>
  <si>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</si>
  <si>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</si>
  <si>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</si>
  <si>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</si>
  <si>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</si>
  <si>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</si>
  <si>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</si>
  <si>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</si>
  <si>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</si>
  <si>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</si>
  <si>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</si>
  <si>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</si>
  <si>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</si>
  <si>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</si>
  <si>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</si>
  <si>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</si>
  <si>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</si>
  <si>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</si>
  <si>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</si>
  <si>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</si>
  <si>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</si>
  <si>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</si>
  <si>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</si>
  <si>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</si>
  <si>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</si>
  <si>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</si>
  <si>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</si>
  <si>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</si>
  <si>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</si>
  <si>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</si>
  <si>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</si>
  <si>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</si>
  <si>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</si>
  <si>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</si>
  <si>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</si>
  <si>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</si>
  <si>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</si>
  <si>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</si>
  <si>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</si>
  <si>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</si>
  <si>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</si>
  <si>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</si>
  <si>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</si>
  <si>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</si>
  <si>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</si>
  <si>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</si>
  <si>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</si>
  <si>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</si>
  <si>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</si>
  <si>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</si>
  <si>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</si>
  <si>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</si>
  <si>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</si>
  <si>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</si>
  <si>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</si>
  <si>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</si>
  <si>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</si>
  <si>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</si>
  <si>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</si>
  <si>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</si>
  <si>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</si>
  <si>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</si>
  <si>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</si>
  <si>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</si>
  <si>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</si>
  <si>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</si>
  <si>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</si>
  <si>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</si>
  <si>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</si>
  <si>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</si>
  <si>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</si>
  <si>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</si>
  <si>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</si>
  <si>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</si>
  <si>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</si>
  <si>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</si>
  <si>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</si>
  <si>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</si>
  <si>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</si>
  <si>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</si>
  <si>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</si>
  <si>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</si>
  <si>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</si>
  <si>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</si>
  <si>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</si>
  <si>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</si>
  <si>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</si>
  <si>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</si>
  <si>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</si>
  <si>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</si>
  <si>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</si>
  <si>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</si>
  <si>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</si>
  <si>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</si>
  <si>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</si>
  <si>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</si>
  <si>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</si>
  <si>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</si>
  <si>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</si>
  <si>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</si>
  <si>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</si>
  <si>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</si>
  <si>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</si>
  <si>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</si>
  <si>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</si>
  <si>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</si>
  <si>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</si>
  <si>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</si>
  <si>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</si>
  <si>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</si>
  <si>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</si>
  <si>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</si>
  <si>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</si>
  <si>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</si>
  <si>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</si>
  <si>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</si>
  <si>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</si>
  <si>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</si>
  <si>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</si>
  <si>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</si>
  <si>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</si>
  <si>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</si>
  <si>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</si>
  <si>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</si>
  <si>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</si>
  <si>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</si>
  <si>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</si>
  <si>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</si>
  <si>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</si>
  <si>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</si>
  <si>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</si>
  <si>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</si>
  <si>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</si>
  <si>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</si>
  <si>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</si>
  <si>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</si>
  <si>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</si>
  <si>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</si>
  <si>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</si>
  <si>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</si>
  <si>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</si>
  <si>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</si>
  <si>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</si>
  <si>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</si>
  <si>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</si>
  <si>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</si>
  <si>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</si>
  <si>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</si>
  <si>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</si>
  <si>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</si>
  <si>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</si>
  <si>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</si>
  <si>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</si>
  <si>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</si>
  <si>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</si>
  <si>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</si>
  <si>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</si>
  <si>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</si>
  <si>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</si>
  <si>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</si>
  <si>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</si>
  <si>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</si>
  <si>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</si>
  <si>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</si>
  <si>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</si>
  <si>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</si>
  <si>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</si>
  <si>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</si>
  <si>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</si>
  <si>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</si>
  <si>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</si>
  <si>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</si>
  <si>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</si>
  <si>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</si>
  <si>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</si>
  <si>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</si>
  <si>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</si>
  <si>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</si>
  <si>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</si>
  <si>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</si>
  <si>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</si>
  <si>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</si>
  <si>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</si>
  <si>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</si>
  <si>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</si>
  <si>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</si>
  <si>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</si>
  <si>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</si>
  <si>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</si>
  <si>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</si>
  <si>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</si>
  <si>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</si>
  <si>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</si>
  <si>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</si>
  <si>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</si>
  <si>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</si>
  <si>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</si>
  <si>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</si>
  <si>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</si>
  <si>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</si>
  <si>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</si>
  <si>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</si>
  <si>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</si>
  <si>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</si>
  <si>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</si>
  <si>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</si>
  <si>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</si>
  <si>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</si>
  <si>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</si>
  <si>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</si>
  <si>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</si>
  <si>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</si>
  <si>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</si>
  <si>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</si>
  <si>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</si>
  <si>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</si>
  <si>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</si>
  <si>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</si>
  <si>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</si>
  <si>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</si>
  <si>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</si>
  <si>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</si>
  <si>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</si>
  <si>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</si>
  <si>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</si>
  <si>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</si>
  <si>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</si>
  <si>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</si>
  <si>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</si>
  <si>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</si>
  <si>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</si>
  <si>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</si>
  <si>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</si>
  <si>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</si>
  <si>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</si>
  <si>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</si>
  <si>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</si>
  <si>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</si>
  <si>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</si>
  <si>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</si>
  <si>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</si>
  <si>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</si>
  <si>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</si>
  <si>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</si>
  <si>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</si>
  <si>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</si>
  <si>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</si>
  <si>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</si>
  <si>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</si>
  <si>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</si>
  <si>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</si>
  <si>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</si>
  <si>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</si>
  <si>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</si>
  <si>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</si>
  <si>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</si>
  <si>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</si>
  <si>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</si>
  <si>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</si>
  <si>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</si>
  <si>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</si>
  <si>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</si>
  <si>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</si>
  <si>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</si>
  <si>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</si>
  <si>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</si>
  <si>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</si>
  <si>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</si>
  <si>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</si>
  <si>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</si>
  <si>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</si>
  <si>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</si>
  <si>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</si>
  <si>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</si>
  <si>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</si>
  <si>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</si>
  <si>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</si>
  <si>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</si>
  <si>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</si>
  <si>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</si>
  <si>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</si>
  <si>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</si>
  <si>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</si>
  <si>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</si>
  <si>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</si>
  <si>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</si>
  <si>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</si>
  <si>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</si>
  <si>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</si>
  <si>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</si>
  <si>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</si>
  <si>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</si>
  <si>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</si>
  <si>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</si>
  <si>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</si>
  <si>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</si>
  <si>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</si>
  <si>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</si>
  <si>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</si>
  <si>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</si>
  <si>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</si>
  <si>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</si>
  <si>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</si>
  <si>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</si>
  <si>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</si>
  <si>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</si>
  <si>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</si>
  <si>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</si>
  <si>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</si>
  <si>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</si>
  <si>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</si>
  <si>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</si>
  <si>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</si>
  <si>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</si>
  <si>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</si>
  <si>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</si>
  <si>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</si>
  <si>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</si>
  <si>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</si>
  <si>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</si>
  <si>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</si>
  <si>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</si>
  <si>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</si>
  <si>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</si>
  <si>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</si>
  <si>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</si>
  <si>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</si>
  <si>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</si>
  <si>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</si>
  <si>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</si>
  <si>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</si>
  <si>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</si>
  <si>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</si>
  <si>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</si>
  <si>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</si>
  <si>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</si>
  <si>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</si>
  <si>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</si>
  <si>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</si>
  <si>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</si>
  <si>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</si>
  <si>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</si>
  <si>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</si>
  <si>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</si>
  <si>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</si>
  <si>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</si>
  <si>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</si>
  <si>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</si>
  <si>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</si>
  <si>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</si>
  <si>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</si>
  <si>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</si>
  <si>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</si>
  <si>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</si>
  <si>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</si>
  <si>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</si>
  <si>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</si>
  <si>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</si>
  <si>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</si>
  <si>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</si>
  <si>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</si>
  <si>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</si>
  <si>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</si>
  <si>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</si>
  <si>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</si>
  <si>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</si>
  <si>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</si>
  <si>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</si>
  <si>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</si>
  <si>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</si>
  <si>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</si>
  <si>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</si>
  <si>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</si>
  <si>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</si>
  <si>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</si>
  <si>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Grand Total</t>
  </si>
  <si>
    <t>Sum of Sales</t>
  </si>
  <si>
    <t>Jan</t>
  </si>
  <si>
    <t>Feb</t>
  </si>
  <si>
    <t>Mar</t>
  </si>
  <si>
    <t>Apr</t>
  </si>
  <si>
    <t>May</t>
  </si>
  <si>
    <t>Jun</t>
  </si>
  <si>
    <t>Jul</t>
  </si>
  <si>
    <t>Aug</t>
  </si>
  <si>
    <t>Sep</t>
  </si>
  <si>
    <t>Oct</t>
  </si>
  <si>
    <t>Nov</t>
  </si>
  <si>
    <t>Dec</t>
  </si>
  <si>
    <t>Month</t>
  </si>
  <si>
    <t>SALES PERFORMANCE DASHBOARD</t>
  </si>
  <si>
    <t>KPI</t>
  </si>
  <si>
    <t>Value</t>
  </si>
  <si>
    <t>Total Sales</t>
  </si>
  <si>
    <t>Total Profit</t>
  </si>
  <si>
    <t>Total Orders</t>
  </si>
  <si>
    <t>Total Quantity</t>
  </si>
  <si>
    <t>Average Order Value</t>
  </si>
  <si>
    <t>Profit Margin</t>
  </si>
  <si>
    <r>
      <t>Total Sales:</t>
    </r>
    <r>
      <rPr>
        <sz val="16"/>
        <color theme="1"/>
        <rFont val="Calibri"/>
        <family val="2"/>
        <scheme val="minor"/>
      </rPr>
      <t xml:space="preserve"> ₹2.95 Cr</t>
    </r>
  </si>
  <si>
    <r>
      <t>Total Profit:</t>
    </r>
    <r>
      <rPr>
        <sz val="16"/>
        <color theme="1"/>
        <rFont val="Calibri"/>
        <family val="2"/>
        <scheme val="minor"/>
      </rPr>
      <t xml:space="preserve"> ₹81.52 Lakh</t>
    </r>
  </si>
  <si>
    <r>
      <t>Profit Margin:</t>
    </r>
    <r>
      <rPr>
        <sz val="16"/>
        <color theme="1"/>
        <rFont val="Calibri"/>
        <family val="2"/>
        <scheme val="minor"/>
      </rPr>
      <t xml:space="preserve"> 27.62%</t>
    </r>
  </si>
  <si>
    <r>
      <t>Technology</t>
    </r>
    <r>
      <rPr>
        <sz val="16"/>
        <color theme="1"/>
        <rFont val="Calibri"/>
        <family val="2"/>
        <scheme val="minor"/>
      </rPr>
      <t xml:space="preserve"> generated the highest sales (</t>
    </r>
    <r>
      <rPr>
        <b/>
        <sz val="16"/>
        <color theme="1"/>
        <rFont val="Calibri"/>
        <family val="2"/>
        <scheme val="minor"/>
      </rPr>
      <t>59.43%</t>
    </r>
    <r>
      <rPr>
        <sz val="16"/>
        <color theme="1"/>
        <rFont val="Calibri"/>
        <family val="2"/>
        <scheme val="minor"/>
      </rPr>
      <t>).</t>
    </r>
  </si>
  <si>
    <r>
      <t>Laptops</t>
    </r>
    <r>
      <rPr>
        <sz val="16"/>
        <color theme="1"/>
        <rFont val="Calibri"/>
        <family val="2"/>
        <scheme val="minor"/>
      </rPr>
      <t xml:space="preserve"> were the top-performing sub-category (</t>
    </r>
    <r>
      <rPr>
        <b/>
        <sz val="16"/>
        <color theme="1"/>
        <rFont val="Calibri"/>
        <family val="2"/>
        <scheme val="minor"/>
      </rPr>
      <t>37.63%</t>
    </r>
    <r>
      <rPr>
        <sz val="16"/>
        <color theme="1"/>
        <rFont val="Calibri"/>
        <family val="2"/>
        <scheme val="minor"/>
      </rPr>
      <t>).</t>
    </r>
  </si>
  <si>
    <r>
      <t>South</t>
    </r>
    <r>
      <rPr>
        <sz val="16"/>
        <color theme="1"/>
        <rFont val="Calibri"/>
        <family val="2"/>
        <scheme val="minor"/>
      </rPr>
      <t xml:space="preserve"> recorded the highest regional sales.</t>
    </r>
  </si>
  <si>
    <r>
      <t>Priya</t>
    </r>
    <r>
      <rPr>
        <sz val="16"/>
        <color theme="1"/>
        <rFont val="Calibri"/>
        <family val="2"/>
        <scheme val="minor"/>
      </rPr>
      <t xml:space="preserve"> generated the highest salesperson sales.</t>
    </r>
  </si>
  <si>
    <r>
      <t>October</t>
    </r>
    <r>
      <rPr>
        <sz val="16"/>
        <color theme="1"/>
        <rFont val="Calibri"/>
        <family val="2"/>
        <scheme val="minor"/>
      </rPr>
      <t xml:space="preserve"> recorded the highest monthly sales.</t>
    </r>
  </si>
  <si>
    <r>
      <t xml:space="preserve">Top 5 products contributed approximately </t>
    </r>
    <r>
      <rPr>
        <b/>
        <sz val="16"/>
        <color theme="1"/>
        <rFont val="Calibri"/>
        <family val="2"/>
        <scheme val="minor"/>
      </rPr>
      <t>55.7%</t>
    </r>
    <r>
      <rPr>
        <sz val="16"/>
        <color theme="1"/>
        <rFont val="Calibri"/>
        <family val="2"/>
        <scheme val="minor"/>
      </rPr>
      <t xml:space="preserve"> of total sales.</t>
    </r>
  </si>
  <si>
    <t>*</t>
  </si>
  <si>
    <t>Tools Used:-</t>
  </si>
  <si>
    <t>Project Insights :-</t>
  </si>
  <si>
    <t>Microsoft Excel, PivotTables, PivotCharts, Slicers, KPI Dashboard, Data Analysis &amp; Visualization.</t>
  </si>
  <si>
    <t>Project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</si>
</sst>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dd\-mmm\-yyyy"/>
    <numFmt numFmtId="165" formatCode="0.0%"/>
  </numFmts>
  <fonts count="12" x14ac:knownFonts="1">
    <font>
      <sz val="11"/>
      <color theme="1"/>
      <name val="Calibri"/>
      <family val="2"/>
      <scheme val="minor"/>
    </font>
    <font>
      <sz val="11"/>
      <color theme="1"/>
      <name val="Calibri"/>
      <family val="2"/>
      <scheme val="minor"/>
    </font>
    <font>
      <sz val="11"/>
      <color theme="0"/>
      <name val="Calibri"/>
      <family val="2"/>
      <scheme val="minor"/>
    </font>
    <font>
      <sz val="16"/>
      <color theme="1"/>
      <name val="Calibri"/>
      <family val="2"/>
      <scheme val="minor"/>
    </font>
    <font>
      <b/>
      <sz val="16"/>
      <color theme="0"/>
      <name val="Calibri"/>
      <family val="2"/>
      <scheme val="minor"/>
    </font>
    <font>
      <b/>
      <sz val="18"/>
      <color theme="0"/>
      <name val="Calibri"/>
      <family val="2"/>
      <scheme val="minor"/>
    </font>
    <font>
      <b/>
      <sz val="28"/>
      <color theme="0"/>
      <name val="Calibri"/>
      <family val="2"/>
      <scheme val="minor"/>
    </font>
    <font>
      <b/>
      <sz val="28"/>
      <name val="Calibri"/>
      <family val="2"/>
      <scheme val="minor"/>
    </font>
    <font>
      <b/>
      <sz val="16"/>
      <color theme="1"/>
      <name val="Calibri"/>
      <family val="2"/>
      <scheme val="minor"/>
    </font>
    <font>
      <b/>
      <sz val="36"/>
      <color theme="0"/>
      <name val="Calibri"/>
      <family val="2"/>
      <scheme val="minor"/>
    </font>
    <font>
      <b/>
      <sz val="18"/>
      <color theme="1"/>
      <name val="Calibri"/>
      <family val="2"/>
      <scheme val="minor"/>
    </font>
    <font>
      <b/>
      <sz val="2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9">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2">
    <xf numFmtId="0" fontId="0" fillId="0" borderId="0"/>
    <xf numFmtId="43" fontId="1" fillId="0" borderId="0" applyFont="0" applyFill="0" applyBorder="0" applyAlignment="0" applyProtection="0"/>
  </cellStyleXfs>
  <cellXfs count="43">
    <xf numFmtId="0" fontId="0" fillId="0" borderId="0" xfId="0"/>
    <xf numFmtId="0" fontId="0" fillId="0" borderId="0" xfId="0" applyAlignment="1">
      <alignment horizontal="center"/>
    </xf>
    <xf numFmtId="0" fontId="0" fillId="2" borderId="0" xfId="0" applyFill="1"/>
    <xf numFmtId="0" fontId="6" fillId="2" borderId="0" xfId="0" applyFont="1" applyFill="1" applyAlignment="1">
      <alignment horizontal="center"/>
    </xf>
    <xf numFmtId="0" fontId="0" fillId="2" borderId="0" xfId="0" applyFill="1" applyAlignment="1">
      <alignment horizontal="center"/>
    </xf>
    <xf numFmtId="0" fontId="4" fillId="2" borderId="0" xfId="0" applyFont="1" applyFill="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2" xfId="0" pivotButton="1" applyBorder="1"/>
    <xf numFmtId="0" fontId="0" fillId="0" borderId="2" xfId="0" applyBorder="1"/>
    <xf numFmtId="0" fontId="0" fillId="0" borderId="2" xfId="0" applyBorder="1" applyAlignment="1">
      <alignment horizontal="left"/>
    </xf>
    <xf numFmtId="0" fontId="3" fillId="0" borderId="0" xfId="0" applyFont="1"/>
    <xf numFmtId="0" fontId="3" fillId="2" borderId="1" xfId="0" applyFont="1" applyFill="1" applyBorder="1" applyAlignment="1">
      <alignment horizontal="left"/>
    </xf>
    <xf numFmtId="0" fontId="3" fillId="0" borderId="1" xfId="0" applyFont="1" applyBorder="1" applyAlignment="1">
      <alignment horizontal="left"/>
    </xf>
    <xf numFmtId="4" fontId="3" fillId="0" borderId="1" xfId="0" applyNumberFormat="1" applyFont="1" applyBorder="1"/>
    <xf numFmtId="165" fontId="3" fillId="0" borderId="1" xfId="0" applyNumberFormat="1" applyFont="1" applyBorder="1"/>
    <xf numFmtId="0" fontId="5" fillId="3" borderId="1" xfId="0" applyFont="1" applyFill="1" applyBorder="1" applyAlignment="1">
      <alignment horizontal="left"/>
    </xf>
    <xf numFmtId="0" fontId="0" fillId="0" borderId="3" xfId="0" applyNumberFormat="1" applyBorder="1"/>
    <xf numFmtId="0" fontId="0" fillId="0" borderId="4" xfId="0" applyNumberFormat="1" applyBorder="1"/>
    <xf numFmtId="0" fontId="0" fillId="0" borderId="5" xfId="0" applyNumberFormat="1" applyBorder="1"/>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NumberFormat="1" applyBorder="1"/>
    <xf numFmtId="0" fontId="0" fillId="0" borderId="7" xfId="0" applyNumberFormat="1" applyBorder="1"/>
    <xf numFmtId="0" fontId="0" fillId="0" borderId="8" xfId="0" applyNumberFormat="1" applyBorder="1"/>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11" fillId="3" borderId="0" xfId="0" applyFont="1" applyFill="1"/>
    <xf numFmtId="0" fontId="8" fillId="0" borderId="0" xfId="0" applyFont="1"/>
    <xf numFmtId="0" fontId="3" fillId="0" borderId="0" xfId="0" applyFont="1" applyAlignment="1">
      <alignment horizontal="right"/>
    </xf>
    <xf numFmtId="0" fontId="11" fillId="3" borderId="0" xfId="0" applyFont="1" applyFill="1" applyAlignment="1">
      <alignment horizontal="right"/>
    </xf>
    <xf numFmtId="0" fontId="8" fillId="0" borderId="0" xfId="0" applyFont="1" applyAlignment="1">
      <alignment wrapText="1"/>
    </xf>
    <xf numFmtId="0" fontId="6" fillId="3" borderId="0" xfId="0" applyFont="1" applyFill="1" applyAlignment="1">
      <alignment horizontal="center"/>
    </xf>
    <xf numFmtId="0" fontId="10" fillId="3" borderId="0" xfId="0" applyFont="1" applyFill="1" applyAlignment="1">
      <alignment horizontal="center"/>
    </xf>
    <xf numFmtId="0" fontId="9" fillId="3" borderId="0" xfId="0" applyFont="1" applyFill="1" applyAlignment="1">
      <alignment horizontal="center"/>
    </xf>
    <xf numFmtId="0" fontId="7" fillId="3" borderId="0" xfId="0" applyFont="1" applyFill="1" applyAlignment="1">
      <alignment horizontal="center"/>
    </xf>
    <xf numFmtId="0" fontId="4" fillId="2" borderId="0" xfId="0" applyFont="1" applyFill="1" applyAlignment="1">
      <alignment horizontal="center"/>
    </xf>
    <xf numFmtId="0" fontId="0" fillId="2" borderId="0" xfId="0" applyFill="1" applyAlignment="1">
      <alignment horizontal="center"/>
    </xf>
    <xf numFmtId="0" fontId="2" fillId="2" borderId="0" xfId="0" applyFont="1" applyFill="1" applyAlignment="1">
      <alignment horizontal="center"/>
    </xf>
    <xf numFmtId="2" fontId="3" fillId="2" borderId="1" xfId="1" applyNumberFormat="1" applyFont="1" applyFill="1" applyBorder="1" applyAlignment="1">
      <alignment horizontal="center"/>
    </xf>
  </cellXfs>
  <cellStyles count="2">
    <cellStyle name="Comma" xfId="1" builtinId="3"/>
    <cellStyle name="Normal" xfId="0" builtinId="0"/>
  </cellStyles>
  <dxfs count="33">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hair">
          <color auto="1"/>
        </left>
        <right style="hair">
          <color auto="1"/>
        </right>
        <top style="hair">
          <color auto="1"/>
        </top>
        <bottom style="hair">
          <color auto="1"/>
        </bottom>
      </border>
    </dxf>
    <dxf>
      <border>
        <left style="hair">
          <color auto="1"/>
        </left>
        <right style="hair">
          <color auto="1"/>
        </right>
        <top style="hair">
          <color auto="1"/>
        </top>
        <bottom style="hair">
          <color auto="1"/>
        </bottom>
      </border>
    </dxf>
    <dxf>
      <border>
        <left style="hair">
          <color auto="1"/>
        </left>
        <right style="hair">
          <color auto="1"/>
        </right>
        <top style="hair">
          <color auto="1"/>
        </top>
        <bottom style="hair">
          <color auto="1"/>
        </bottom>
      </border>
    </dxf>
    <dxf>
      <border>
        <left style="hair">
          <color auto="1"/>
        </left>
        <right style="hair">
          <color auto="1"/>
        </right>
        <top style="hair">
          <color auto="1"/>
        </top>
        <bottom style="hair">
          <color auto="1"/>
        </bottom>
      </border>
    </dxf>
    <dxf>
      <border>
        <left style="hair">
          <color auto="1"/>
        </left>
        <right style="hair">
          <color auto="1"/>
        </right>
        <top style="hair">
          <color auto="1"/>
        </top>
        <bottom style="hair">
          <color auto="1"/>
        </bottom>
      </border>
    </dxf>
    <dxf>
      <border>
        <left style="hair">
          <color auto="1"/>
        </left>
        <right style="hair">
          <color auto="1"/>
        </right>
        <top style="hair">
          <color auto="1"/>
        </top>
        <bottom style="hair">
          <color auto="1"/>
        </bottom>
      </border>
    </dxf>
    <dxf>
      <font>
        <b/>
        <i val="0"/>
        <sz val="14"/>
        <color theme="0"/>
      </font>
      <fill>
        <patternFill>
          <bgColor rgb="FF00B050"/>
        </patternFill>
      </fill>
    </dxf>
    <dxf>
      <border>
        <left style="thin">
          <color auto="1"/>
        </left>
        <right style="thin">
          <color auto="1"/>
        </right>
        <top style="thin">
          <color auto="1"/>
        </top>
        <bottom style="thin">
          <color auto="1"/>
        </bottom>
      </border>
    </dxf>
    <dxf>
      <font>
        <b/>
        <i val="0"/>
        <sz val="14"/>
      </font>
      <fill>
        <patternFill>
          <bgColor rgb="FF00B050"/>
        </patternFill>
      </fill>
    </dxf>
    <dxf>
      <font>
        <b/>
        <i val="0"/>
      </font>
      <fill>
        <patternFill>
          <bgColor theme="9" tint="-0.24994659260841701"/>
        </patternFill>
      </fill>
    </dxf>
    <dxf>
      <font>
        <b/>
        <i val="0"/>
        <sz val="12"/>
        <color theme="0"/>
      </font>
      <fill>
        <patternFill>
          <bgColor rgb="FF00B050"/>
        </patternFill>
      </fill>
    </dxf>
    <dxf>
      <fill>
        <patternFill>
          <bgColor rgb="FF00B050"/>
        </patternFill>
      </fill>
    </dxf>
    <dxf>
      <fill>
        <patternFill>
          <bgColor rgb="FF00B050"/>
        </patternFill>
      </fill>
    </dxf>
    <dxf>
      <fill>
        <patternFill>
          <bgColor rgb="FF92D050"/>
        </patternFill>
      </fill>
    </dxf>
    <dxf>
      <fill>
        <patternFill>
          <bgColor rgb="FF00B050"/>
        </patternFill>
      </fill>
    </dxf>
  </dxfs>
  <tableStyles count="8" defaultTableStyle="TableStyleMedium2" defaultPivotStyle="PivotStyleLight16">
    <tableStyle name="my" pivot="0" table="0" count="2" xr9:uid="{D2677409-E564-4BB4-AD71-D8DB807C1F4A}">
      <tableStyleElement type="headerRow" dxfId="32"/>
    </tableStyle>
    <tableStyle name="Slicer Style 1" pivot="0" table="0" count="1" xr9:uid="{3AA296B9-43DD-41C8-86F4-26FA9CF7DE79}">
      <tableStyleElement type="headerRow" dxfId="31"/>
    </tableStyle>
    <tableStyle name="Slicer Style 2" pivot="0" table="0" count="2" xr9:uid="{2C30E171-5FC0-4877-8A1A-9FEF7B03B1D4}">
      <tableStyleElement type="headerRow" dxfId="30"/>
    </tableStyle>
    <tableStyle name="Slicer Style 3" pivot="0" table="0" count="2" xr9:uid="{303345A9-5B55-4AE7-91E8-2C0AD606CE26}">
      <tableStyleElement type="headerRow" dxfId="29"/>
    </tableStyle>
    <tableStyle name="Slicer Style 4" pivot="0" table="0" count="2" xr9:uid="{CE6E048E-7C47-4138-8841-DF4890C9E621}">
      <tableStyleElement type="headerRow" dxfId="28"/>
    </tableStyle>
    <tableStyle name="Slicer Style 5" pivot="0" table="0" count="3" xr9:uid="{A0042C45-53C2-4327-9879-BD035AA4EC57}">
      <tableStyleElement type="wholeTable" dxfId="27"/>
      <tableStyleElement type="headerRow" dxfId="26"/>
    </tableStyle>
    <tableStyle name="Slicer Style 6" pivot="0" table="0" count="3" xr9:uid="{AF3D52B2-872F-4414-A5CB-6C771A2E5D7A}">
      <tableStyleElement type="wholeTable" dxfId="25"/>
      <tableStyleElement type="headerRow" dxfId="24"/>
    </tableStyle>
    <tableStyle name="Slicer Style 7" pivot="0" table="0" count="1" xr9:uid="{E317E272-5555-4492-8BC1-59FF2B0CDD1A}"/>
  </tableStyles>
  <extLst>
    <ext xmlns:x14="http://schemas.microsoft.com/office/spreadsheetml/2009/9/main" uri="{46F421CA-312F-682f-3DD2-61675219B42D}">
      <x14:dxfs count="6">
        <dxf>
          <fill>
            <patternFill>
              <bgColor theme="4" tint="0.39994506668294322"/>
            </patternFill>
          </fill>
        </dxf>
        <dxf>
          <fill>
            <patternFill>
              <bgColor theme="4" tint="0.59996337778862885"/>
            </patternFill>
          </fill>
        </dxf>
        <dxf>
          <fill>
            <patternFill>
              <bgColor theme="4" tint="0.59996337778862885"/>
            </patternFill>
          </fill>
        </dxf>
        <dxf>
          <font>
            <b/>
            <i val="0"/>
            <sz val="12"/>
          </font>
          <fill>
            <patternFill>
              <bgColor theme="0"/>
            </patternFill>
          </fill>
        </dxf>
        <dxf>
          <fill>
            <patternFill>
              <bgColor theme="4" tint="0.59996337778862885"/>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my">
          <x14:slicerStyleElements>
            <x14:slicerStyleElement type="selectedItemWithData" dxfId="5"/>
          </x14:slicerStyleElements>
        </x14:slicerStyle>
        <x14:slicerStyle name="Slicer Style 1"/>
        <x14:slicerStyle name="Slicer Style 2">
          <x14:slicerStyleElements>
            <x14:slicerStyleElement type="selectedItemWithData" dxfId="4"/>
          </x14:slicerStyleElements>
        </x14:slicerStyle>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s>
        </x14:slicerStyle>
        <x14:slicerStyle name="Slicer Style 5">
          <x14:slicerStyleElements>
            <x14:slicerStyleElement type="selectedItemWithData" dxfId="1"/>
          </x14:slicerStyleElements>
        </x14:slicerStyle>
        <x14:slicerStyle name="Slicer Style 6">
          <x14:slicerStyleElements>
            <x14:slicerStyleElement type="selectedItemWithData" dxfId="0"/>
          </x14:slicerStyleElements>
        </x14:slicerStyle>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project.xlsx]Dashboard!PivotTable10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bg1"/>
                </a:solidFill>
              </a:rPr>
              <a:t>Region Wise Sales</a:t>
            </a:r>
            <a:endParaRPr lang="en-US" sz="1800" b="1">
              <a:solidFill>
                <a:schemeClr val="bg1"/>
              </a:solidFill>
            </a:endParaRPr>
          </a:p>
        </c:rich>
      </c:tx>
      <c:overlay val="0"/>
      <c:spPr>
        <a:solidFill>
          <a:srgbClr val="00B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s>
    <c:plotArea>
      <c:layout/>
      <c:barChart>
        <c:barDir val="col"/>
        <c:grouping val="clustered"/>
        <c:varyColors val="1"/>
        <c:ser>
          <c:idx val="0"/>
          <c:order val="0"/>
          <c:tx>
            <c:strRef>
              <c:f>Dashboard!$B$12</c:f>
              <c:strCache>
                <c:ptCount val="1"/>
                <c:pt idx="0">
                  <c:v>Total</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DEBE-4C7B-83EE-F63C0BC999C9}"/>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DEBE-4C7B-83EE-F63C0BC999C9}"/>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DEBE-4C7B-83EE-F63C0BC999C9}"/>
              </c:ext>
            </c:extLst>
          </c:dPt>
          <c:dPt>
            <c:idx val="3"/>
            <c:invertIfNegative val="0"/>
            <c:bubble3D val="0"/>
            <c:spPr>
              <a:solidFill>
                <a:schemeClr val="accent2">
                  <a:lumMod val="60000"/>
                </a:schemeClr>
              </a:solidFill>
              <a:ln>
                <a:noFill/>
              </a:ln>
              <a:effectLst/>
            </c:spPr>
            <c:extLst>
              <c:ext xmlns:c16="http://schemas.microsoft.com/office/drawing/2014/chart" uri="{C3380CC4-5D6E-409C-BE32-E72D297353CC}">
                <c16:uniqueId val="{00000007-DEBE-4C7B-83EE-F63C0BC999C9}"/>
              </c:ext>
            </c:extLst>
          </c:dPt>
          <c:cat>
            <c:strRef>
              <c:f>Dashboard!$A$13:$A$17</c:f>
              <c:strCache>
                <c:ptCount val="4"/>
                <c:pt idx="0">
                  <c:v>East</c:v>
                </c:pt>
                <c:pt idx="1">
                  <c:v>North</c:v>
                </c:pt>
                <c:pt idx="2">
                  <c:v>South</c:v>
                </c:pt>
                <c:pt idx="3">
                  <c:v>West</c:v>
                </c:pt>
              </c:strCache>
            </c:strRef>
          </c:cat>
          <c:val>
            <c:numRef>
              <c:f>Dashboard!$B$13:$B$17</c:f>
              <c:numCache>
                <c:formatCode>General</c:formatCode>
                <c:ptCount val="4"/>
                <c:pt idx="0">
                  <c:v>3818470</c:v>
                </c:pt>
                <c:pt idx="1">
                  <c:v>4367437.5</c:v>
                </c:pt>
                <c:pt idx="2">
                  <c:v>4441412.5</c:v>
                </c:pt>
                <c:pt idx="3">
                  <c:v>2956995.5</c:v>
                </c:pt>
              </c:numCache>
            </c:numRef>
          </c:val>
          <c:extLst>
            <c:ext xmlns:c16="http://schemas.microsoft.com/office/drawing/2014/chart" uri="{C3380CC4-5D6E-409C-BE32-E72D297353CC}">
              <c16:uniqueId val="{00000000-1356-4E81-8ED7-7A6FF1CC6831}"/>
            </c:ext>
          </c:extLst>
        </c:ser>
        <c:dLbls>
          <c:showLegendKey val="0"/>
          <c:showVal val="0"/>
          <c:showCatName val="0"/>
          <c:showSerName val="0"/>
          <c:showPercent val="0"/>
          <c:showBubbleSize val="0"/>
        </c:dLbls>
        <c:gapWidth val="219"/>
        <c:overlap val="-27"/>
        <c:axId val="2082125887"/>
        <c:axId val="2082131295"/>
      </c:barChart>
      <c:catAx>
        <c:axId val="208212588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solidFill>
                      <a:srgbClr val="7030A0"/>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82131295"/>
        <c:crosses val="autoZero"/>
        <c:auto val="1"/>
        <c:lblAlgn val="ctr"/>
        <c:lblOffset val="100"/>
        <c:noMultiLvlLbl val="0"/>
      </c:catAx>
      <c:valAx>
        <c:axId val="2082131295"/>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solidFill>
                      <a:srgbClr val="7030A0"/>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82125887"/>
        <c:crosses val="autoZero"/>
        <c:crossBetween val="between"/>
      </c:valAx>
      <c:spPr>
        <a:noFill/>
        <a:ln>
          <a:noFill/>
        </a:ln>
        <a:effectLst/>
      </c:spPr>
    </c:plotArea>
    <c:legend>
      <c:legendPos val="r"/>
      <c:layout>
        <c:manualLayout>
          <c:xMode val="edge"/>
          <c:yMode val="edge"/>
          <c:x val="0.81396332350690959"/>
          <c:y val="0.22374485947209102"/>
          <c:w val="0.18065390016613631"/>
          <c:h val="0.65420728289649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project.xlsx]Dashboard!PivotTable11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b="1">
                <a:solidFill>
                  <a:schemeClr val="bg1"/>
                </a:solidFill>
              </a:rPr>
              <a:t>Category Wise Sales</a:t>
            </a:r>
          </a:p>
        </c:rich>
      </c:tx>
      <c:layout>
        <c:manualLayout>
          <c:xMode val="edge"/>
          <c:yMode val="edge"/>
          <c:x val="0.20064566929133859"/>
          <c:y val="2.7777777777777776E-2"/>
        </c:manualLayout>
      </c:layout>
      <c:overlay val="0"/>
      <c:spPr>
        <a:solidFill>
          <a:srgbClr val="00B050"/>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pieChart>
        <c:varyColors val="1"/>
        <c:ser>
          <c:idx val="0"/>
          <c:order val="0"/>
          <c:tx>
            <c:strRef>
              <c:f>Dashboard!$E$12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CDB2-40E8-9CD5-F15FFB50F63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CDB2-40E8-9CD5-F15FFB50F632}"/>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CDB2-40E8-9CD5-F15FFB50F6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Dashboard!$D$13:$D$16</c:f>
              <c:strCache>
                <c:ptCount val="3"/>
                <c:pt idx="0">
                  <c:v>Furniture</c:v>
                </c:pt>
                <c:pt idx="1">
                  <c:v>Office Supplies</c:v>
                </c:pt>
                <c:pt idx="2">
                  <c:v>Technology</c:v>
                </c:pt>
              </c:strCache>
            </c:strRef>
          </c:cat>
          <c:val>
            <c:numRef>
              <c:f>Dashboard!$E$13:$E$16</c:f>
              <c:numCache>
                <c:formatCode>General</c:formatCode>
                <c:ptCount val="3"/>
                <c:pt idx="0">
                  <c:v>3937205</c:v>
                </c:pt>
                <c:pt idx="1">
                  <c:v>2125635.5</c:v>
                </c:pt>
                <c:pt idx="2">
                  <c:v>9521475</c:v>
                </c:pt>
              </c:numCache>
            </c:numRef>
          </c:val>
          <c:extLst>
            <c:ext xmlns:c16="http://schemas.microsoft.com/office/drawing/2014/chart" uri="{C3380CC4-5D6E-409C-BE32-E72D297353CC}">
              <c16:uniqueId val="{00000000-C520-4AF4-9ABA-DEFE1545E75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496707559306274"/>
          <c:y val="0.16531624430711894"/>
          <c:w val="0.18796645348740432"/>
          <c:h val="0.6747266766220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project.xlsx]Dashboard!PivotTable12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Month</a:t>
            </a:r>
            <a:r>
              <a:rPr lang="en-US" sz="1800" b="1" baseline="0">
                <a:solidFill>
                  <a:schemeClr val="bg1"/>
                </a:solidFill>
              </a:rPr>
              <a:t> Wise Sales</a:t>
            </a:r>
            <a:endParaRPr lang="en-US" sz="1800" b="1">
              <a:solidFill>
                <a:schemeClr val="bg1"/>
              </a:solidFill>
            </a:endParaRPr>
          </a:p>
        </c:rich>
      </c:tx>
      <c:layout>
        <c:manualLayout>
          <c:xMode val="edge"/>
          <c:yMode val="edge"/>
          <c:x val="0.28182633420822395"/>
          <c:y val="2.7777777777777776E-2"/>
        </c:manualLayout>
      </c:layout>
      <c:overlay val="0"/>
      <c:spPr>
        <a:solidFill>
          <a:srgbClr val="00B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none"/>
        </c:marker>
      </c:pivotFmt>
      <c:pivotFmt>
        <c:idx val="2"/>
        <c:spPr>
          <a:ln w="38100" cap="rnd">
            <a:solidFill>
              <a:schemeClr val="accent1"/>
            </a:solidFill>
            <a:round/>
          </a:ln>
          <a:effectLst/>
        </c:spPr>
        <c:marker>
          <c:symbol val="none"/>
        </c:marker>
      </c:pivotFmt>
      <c:pivotFmt>
        <c:idx val="3"/>
        <c:spPr>
          <a:ln w="38100" cap="rnd">
            <a:solidFill>
              <a:schemeClr val="accent1"/>
            </a:solidFill>
            <a:round/>
          </a:ln>
          <a:effectLst/>
        </c:spPr>
        <c:marker>
          <c:symbol val="none"/>
        </c:marker>
      </c:pivotFmt>
      <c:pivotFmt>
        <c:idx val="4"/>
        <c:spPr>
          <a:ln w="38100" cap="rnd">
            <a:solidFill>
              <a:schemeClr val="accent1"/>
            </a:solidFill>
            <a:round/>
          </a:ln>
          <a:effectLst/>
        </c:spPr>
        <c:marker>
          <c:symbol val="none"/>
        </c:marker>
      </c:pivotFmt>
      <c:pivotFmt>
        <c:idx val="5"/>
        <c:spPr>
          <a:ln w="38100" cap="rnd">
            <a:solidFill>
              <a:schemeClr val="accent1"/>
            </a:solidFill>
            <a:round/>
          </a:ln>
          <a:effectLst/>
        </c:spPr>
        <c:marker>
          <c:symbol val="none"/>
        </c:marker>
      </c:pivotFmt>
      <c:pivotFmt>
        <c:idx val="6"/>
        <c:spPr>
          <a:ln w="38100" cap="rnd">
            <a:solidFill>
              <a:schemeClr val="accent1"/>
            </a:solidFill>
            <a:round/>
          </a:ln>
          <a:effectLst/>
        </c:spPr>
        <c:marker>
          <c:symbol val="none"/>
        </c:marker>
      </c:pivotFmt>
      <c:pivotFmt>
        <c:idx val="7"/>
        <c:spPr>
          <a:ln w="38100" cap="rnd">
            <a:solidFill>
              <a:schemeClr val="accent1"/>
            </a:solidFill>
            <a:round/>
          </a:ln>
          <a:effectLst/>
        </c:spPr>
        <c:marker>
          <c:symbol val="none"/>
        </c:marker>
      </c:pivotFmt>
      <c:pivotFmt>
        <c:idx val="8"/>
        <c:spPr>
          <a:ln w="38100" cap="rnd">
            <a:solidFill>
              <a:schemeClr val="accent1"/>
            </a:solidFill>
            <a:round/>
          </a:ln>
          <a:effectLst/>
        </c:spPr>
        <c:marker>
          <c:symbol val="none"/>
        </c:marker>
      </c:pivotFmt>
      <c:pivotFmt>
        <c:idx val="9"/>
        <c:spPr>
          <a:ln w="38100" cap="rnd">
            <a:solidFill>
              <a:schemeClr val="accent1"/>
            </a:solidFill>
            <a:round/>
          </a:ln>
          <a:effectLst/>
        </c:spPr>
        <c:marker>
          <c:symbol val="none"/>
        </c:marker>
      </c:pivotFmt>
      <c:pivotFmt>
        <c:idx val="10"/>
        <c:spPr>
          <a:ln w="38100" cap="rnd">
            <a:solidFill>
              <a:schemeClr val="accent1"/>
            </a:solidFill>
            <a:round/>
          </a:ln>
          <a:effectLst/>
        </c:spPr>
        <c:marker>
          <c:symbol val="none"/>
        </c:marker>
      </c:pivotFmt>
      <c:pivotFmt>
        <c:idx val="11"/>
        <c:spPr>
          <a:ln w="38100" cap="rnd">
            <a:solidFill>
              <a:schemeClr val="accent1"/>
            </a:solidFill>
            <a:round/>
          </a:ln>
          <a:effectLst/>
        </c:spPr>
        <c:marker>
          <c:symbol val="none"/>
        </c:marker>
      </c:pivotFmt>
      <c:pivotFmt>
        <c:idx val="12"/>
        <c:spPr>
          <a:ln w="38100" cap="rnd">
            <a:solidFill>
              <a:schemeClr val="accent1"/>
            </a:solidFill>
            <a:round/>
          </a:ln>
          <a:effectLst/>
        </c:spPr>
        <c:marker>
          <c:symbol val="none"/>
        </c:marker>
      </c:pivotFmt>
    </c:pivotFmts>
    <c:plotArea>
      <c:layout>
        <c:manualLayout>
          <c:layoutTarget val="inner"/>
          <c:xMode val="edge"/>
          <c:yMode val="edge"/>
          <c:x val="2.1107615894039731E-2"/>
          <c:y val="0.15505105928974242"/>
          <c:w val="0.84485682384308869"/>
          <c:h val="0.79237805104917303"/>
        </c:manualLayout>
      </c:layout>
      <c:lineChart>
        <c:grouping val="standard"/>
        <c:varyColors val="1"/>
        <c:ser>
          <c:idx val="0"/>
          <c:order val="0"/>
          <c:tx>
            <c:strRef>
              <c:f>Dashboard!$H$12</c:f>
              <c:strCache>
                <c:ptCount val="1"/>
                <c:pt idx="0">
                  <c:v>Total</c:v>
                </c:pt>
              </c:strCache>
            </c:strRef>
          </c:tx>
          <c:spPr>
            <a:ln w="38100"/>
          </c:spPr>
          <c:marker>
            <c:symbol val="none"/>
          </c:marker>
          <c:dPt>
            <c:idx val="0"/>
            <c:marker>
              <c:symbol val="none"/>
            </c:marker>
            <c:bubble3D val="0"/>
            <c:spPr>
              <a:ln w="38100" cap="rnd">
                <a:solidFill>
                  <a:schemeClr val="accent1"/>
                </a:solidFill>
                <a:round/>
              </a:ln>
              <a:effectLst/>
            </c:spPr>
            <c:extLst>
              <c:ext xmlns:c16="http://schemas.microsoft.com/office/drawing/2014/chart" uri="{C3380CC4-5D6E-409C-BE32-E72D297353CC}">
                <c16:uniqueId val="{0000000D-F364-4DF2-9C95-585B36613B38}"/>
              </c:ext>
            </c:extLst>
          </c:dPt>
          <c:dPt>
            <c:idx val="1"/>
            <c:marker>
              <c:symbol val="none"/>
            </c:marker>
            <c:bubble3D val="0"/>
            <c:spPr>
              <a:ln w="38100" cap="rnd">
                <a:solidFill>
                  <a:schemeClr val="accent2"/>
                </a:solidFill>
                <a:round/>
              </a:ln>
              <a:effectLst/>
            </c:spPr>
            <c:extLst>
              <c:ext xmlns:c16="http://schemas.microsoft.com/office/drawing/2014/chart" uri="{C3380CC4-5D6E-409C-BE32-E72D297353CC}">
                <c16:uniqueId val="{00000002-F364-4DF2-9C95-585B36613B38}"/>
              </c:ext>
            </c:extLst>
          </c:dPt>
          <c:dPt>
            <c:idx val="2"/>
            <c:marker>
              <c:symbol val="none"/>
            </c:marker>
            <c:bubble3D val="0"/>
            <c:spPr>
              <a:ln w="38100" cap="rnd">
                <a:solidFill>
                  <a:schemeClr val="accent3"/>
                </a:solidFill>
                <a:round/>
              </a:ln>
              <a:effectLst/>
            </c:spPr>
            <c:extLst>
              <c:ext xmlns:c16="http://schemas.microsoft.com/office/drawing/2014/chart" uri="{C3380CC4-5D6E-409C-BE32-E72D297353CC}">
                <c16:uniqueId val="{00000003-F364-4DF2-9C95-585B36613B38}"/>
              </c:ext>
            </c:extLst>
          </c:dPt>
          <c:dPt>
            <c:idx val="3"/>
            <c:marker>
              <c:symbol val="none"/>
            </c:marker>
            <c:bubble3D val="0"/>
            <c:spPr>
              <a:ln w="38100" cap="rnd">
                <a:solidFill>
                  <a:schemeClr val="accent4"/>
                </a:solidFill>
                <a:round/>
              </a:ln>
              <a:effectLst/>
            </c:spPr>
            <c:extLst>
              <c:ext xmlns:c16="http://schemas.microsoft.com/office/drawing/2014/chart" uri="{C3380CC4-5D6E-409C-BE32-E72D297353CC}">
                <c16:uniqueId val="{00000004-F364-4DF2-9C95-585B36613B38}"/>
              </c:ext>
            </c:extLst>
          </c:dPt>
          <c:dPt>
            <c:idx val="4"/>
            <c:marker>
              <c:symbol val="none"/>
            </c:marker>
            <c:bubble3D val="0"/>
            <c:spPr>
              <a:ln w="38100" cap="rnd">
                <a:solidFill>
                  <a:schemeClr val="accent5"/>
                </a:solidFill>
                <a:round/>
              </a:ln>
              <a:effectLst/>
            </c:spPr>
            <c:extLst>
              <c:ext xmlns:c16="http://schemas.microsoft.com/office/drawing/2014/chart" uri="{C3380CC4-5D6E-409C-BE32-E72D297353CC}">
                <c16:uniqueId val="{00000005-F364-4DF2-9C95-585B36613B38}"/>
              </c:ext>
            </c:extLst>
          </c:dPt>
          <c:dPt>
            <c:idx val="5"/>
            <c:marker>
              <c:symbol val="none"/>
            </c:marker>
            <c:bubble3D val="0"/>
            <c:spPr>
              <a:ln w="38100" cap="rnd">
                <a:solidFill>
                  <a:schemeClr val="accent6"/>
                </a:solidFill>
                <a:round/>
              </a:ln>
              <a:effectLst/>
            </c:spPr>
            <c:extLst>
              <c:ext xmlns:c16="http://schemas.microsoft.com/office/drawing/2014/chart" uri="{C3380CC4-5D6E-409C-BE32-E72D297353CC}">
                <c16:uniqueId val="{00000006-F364-4DF2-9C95-585B36613B38}"/>
              </c:ext>
            </c:extLst>
          </c:dPt>
          <c:dPt>
            <c:idx val="6"/>
            <c:marker>
              <c:symbol val="none"/>
            </c:marker>
            <c:bubble3D val="0"/>
            <c:spPr>
              <a:ln w="38100" cap="rnd">
                <a:solidFill>
                  <a:schemeClr val="accent1">
                    <a:lumMod val="60000"/>
                  </a:schemeClr>
                </a:solidFill>
                <a:round/>
              </a:ln>
              <a:effectLst/>
            </c:spPr>
            <c:extLst>
              <c:ext xmlns:c16="http://schemas.microsoft.com/office/drawing/2014/chart" uri="{C3380CC4-5D6E-409C-BE32-E72D297353CC}">
                <c16:uniqueId val="{00000007-F364-4DF2-9C95-585B36613B38}"/>
              </c:ext>
            </c:extLst>
          </c:dPt>
          <c:dPt>
            <c:idx val="7"/>
            <c:marker>
              <c:symbol val="none"/>
            </c:marker>
            <c:bubble3D val="0"/>
            <c:spPr>
              <a:ln w="38100" cap="rnd">
                <a:solidFill>
                  <a:schemeClr val="accent2">
                    <a:lumMod val="60000"/>
                  </a:schemeClr>
                </a:solidFill>
                <a:round/>
              </a:ln>
              <a:effectLst/>
            </c:spPr>
            <c:extLst>
              <c:ext xmlns:c16="http://schemas.microsoft.com/office/drawing/2014/chart" uri="{C3380CC4-5D6E-409C-BE32-E72D297353CC}">
                <c16:uniqueId val="{00000008-F364-4DF2-9C95-585B36613B38}"/>
              </c:ext>
            </c:extLst>
          </c:dPt>
          <c:dPt>
            <c:idx val="8"/>
            <c:marker>
              <c:symbol val="none"/>
            </c:marker>
            <c:bubble3D val="0"/>
            <c:spPr>
              <a:ln w="38100" cap="rnd">
                <a:solidFill>
                  <a:schemeClr val="accent3">
                    <a:lumMod val="60000"/>
                  </a:schemeClr>
                </a:solidFill>
                <a:round/>
              </a:ln>
              <a:effectLst/>
            </c:spPr>
            <c:extLst>
              <c:ext xmlns:c16="http://schemas.microsoft.com/office/drawing/2014/chart" uri="{C3380CC4-5D6E-409C-BE32-E72D297353CC}">
                <c16:uniqueId val="{00000009-F364-4DF2-9C95-585B36613B38}"/>
              </c:ext>
            </c:extLst>
          </c:dPt>
          <c:dPt>
            <c:idx val="9"/>
            <c:marker>
              <c:symbol val="none"/>
            </c:marker>
            <c:bubble3D val="0"/>
            <c:spPr>
              <a:ln w="38100" cap="rnd">
                <a:solidFill>
                  <a:schemeClr val="accent4">
                    <a:lumMod val="60000"/>
                  </a:schemeClr>
                </a:solidFill>
                <a:round/>
              </a:ln>
              <a:effectLst/>
            </c:spPr>
            <c:extLst>
              <c:ext xmlns:c16="http://schemas.microsoft.com/office/drawing/2014/chart" uri="{C3380CC4-5D6E-409C-BE32-E72D297353CC}">
                <c16:uniqueId val="{0000000A-F364-4DF2-9C95-585B36613B38}"/>
              </c:ext>
            </c:extLst>
          </c:dPt>
          <c:dPt>
            <c:idx val="10"/>
            <c:marker>
              <c:symbol val="none"/>
            </c:marker>
            <c:bubble3D val="0"/>
            <c:spPr>
              <a:ln w="38100" cap="rnd">
                <a:solidFill>
                  <a:schemeClr val="accent5">
                    <a:lumMod val="60000"/>
                  </a:schemeClr>
                </a:solidFill>
                <a:round/>
              </a:ln>
              <a:effectLst/>
            </c:spPr>
            <c:extLst>
              <c:ext xmlns:c16="http://schemas.microsoft.com/office/drawing/2014/chart" uri="{C3380CC4-5D6E-409C-BE32-E72D297353CC}">
                <c16:uniqueId val="{0000000B-F364-4DF2-9C95-585B36613B38}"/>
              </c:ext>
            </c:extLst>
          </c:dPt>
          <c:dPt>
            <c:idx val="11"/>
            <c:marker>
              <c:symbol val="none"/>
            </c:marker>
            <c:bubble3D val="0"/>
            <c:spPr>
              <a:ln w="38100" cap="rnd">
                <a:solidFill>
                  <a:schemeClr val="accent6">
                    <a:lumMod val="60000"/>
                  </a:schemeClr>
                </a:solidFill>
                <a:round/>
              </a:ln>
              <a:effectLst/>
            </c:spPr>
            <c:extLst>
              <c:ext xmlns:c16="http://schemas.microsoft.com/office/drawing/2014/chart" uri="{C3380CC4-5D6E-409C-BE32-E72D297353CC}">
                <c16:uniqueId val="{0000000C-F364-4DF2-9C95-585B36613B38}"/>
              </c:ext>
            </c:extLst>
          </c:dPt>
          <c:cat>
            <c:strRef>
              <c:f>Dashboard!$G$13:$G$25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Dashboard!$H$13:$H$25</c:f>
              <c:numCache>
                <c:formatCode>General</c:formatCode>
                <c:ptCount val="12"/>
                <c:pt idx="0">
                  <c:v>791532.5</c:v>
                </c:pt>
                <c:pt idx="1">
                  <c:v>951488</c:v>
                </c:pt>
                <c:pt idx="2">
                  <c:v>1338717.5</c:v>
                </c:pt>
                <c:pt idx="3">
                  <c:v>437550</c:v>
                </c:pt>
                <c:pt idx="4">
                  <c:v>1626235</c:v>
                </c:pt>
                <c:pt idx="5">
                  <c:v>1111772.5</c:v>
                </c:pt>
                <c:pt idx="6">
                  <c:v>1337465</c:v>
                </c:pt>
                <c:pt idx="7">
                  <c:v>874556</c:v>
                </c:pt>
                <c:pt idx="8">
                  <c:v>1075560</c:v>
                </c:pt>
                <c:pt idx="9">
                  <c:v>2690503</c:v>
                </c:pt>
                <c:pt idx="10">
                  <c:v>1853613.5</c:v>
                </c:pt>
                <c:pt idx="11">
                  <c:v>1495322.5</c:v>
                </c:pt>
              </c:numCache>
            </c:numRef>
          </c:val>
          <c:smooth val="0"/>
          <c:extLst>
            <c:ext xmlns:c16="http://schemas.microsoft.com/office/drawing/2014/chart" uri="{C3380CC4-5D6E-409C-BE32-E72D297353CC}">
              <c16:uniqueId val="{00000000-F364-4DF2-9C95-585B36613B38}"/>
            </c:ext>
          </c:extLst>
        </c:ser>
        <c:dLbls>
          <c:showLegendKey val="0"/>
          <c:showVal val="0"/>
          <c:showCatName val="0"/>
          <c:showSerName val="0"/>
          <c:showPercent val="0"/>
          <c:showBubbleSize val="0"/>
        </c:dLbls>
        <c:smooth val="0"/>
        <c:axId val="2079106063"/>
        <c:axId val="2079096911"/>
      </c:lineChart>
      <c:catAx>
        <c:axId val="2079106063"/>
        <c:scaling>
          <c:orientation val="minMax"/>
        </c:scaling>
        <c:delete val="1"/>
        <c:axPos val="b"/>
        <c:numFmt formatCode="General" sourceLinked="1"/>
        <c:majorTickMark val="out"/>
        <c:minorTickMark val="none"/>
        <c:tickLblPos val="nextTo"/>
        <c:crossAx val="2079096911"/>
        <c:crossesAt val="0"/>
        <c:auto val="1"/>
        <c:lblAlgn val="ctr"/>
        <c:lblOffset val="100"/>
        <c:noMultiLvlLbl val="0"/>
      </c:catAx>
      <c:valAx>
        <c:axId val="2079096911"/>
        <c:scaling>
          <c:orientation val="minMax"/>
        </c:scaling>
        <c:delete val="1"/>
        <c:axPos val="l"/>
        <c:majorGridlines>
          <c:spPr>
            <a:ln w="9525" cap="flat" cmpd="sng" algn="ctr">
              <a:solidFill>
                <a:schemeClr val="tx1"/>
              </a:solidFill>
              <a:round/>
            </a:ln>
            <a:effectLst/>
          </c:spPr>
        </c:majorGridlines>
        <c:numFmt formatCode="General" sourceLinked="1"/>
        <c:majorTickMark val="out"/>
        <c:minorTickMark val="none"/>
        <c:tickLblPos val="nextTo"/>
        <c:crossAx val="2079106063"/>
        <c:crosses val="autoZero"/>
        <c:crossBetween val="between"/>
      </c:valAx>
      <c:spPr>
        <a:noFill/>
        <a:ln>
          <a:noFill/>
        </a:ln>
        <a:effectLst/>
      </c:spPr>
    </c:plotArea>
    <c:legend>
      <c:legendPos val="r"/>
      <c:layout>
        <c:manualLayout>
          <c:xMode val="edge"/>
          <c:yMode val="edge"/>
          <c:x val="0.85132569574733219"/>
          <c:y val="0.21445996433174083"/>
          <c:w val="0.12830620794067268"/>
          <c:h val="0.71739171670699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project.xlsx]Dashboard!PivotTable13</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Salesperson</a:t>
            </a:r>
            <a:r>
              <a:rPr lang="en-US" sz="1800" b="1" baseline="0">
                <a:solidFill>
                  <a:schemeClr val="bg1"/>
                </a:solidFill>
              </a:rPr>
              <a:t> Wise Sales</a:t>
            </a:r>
            <a:endParaRPr lang="en-US" sz="1800" b="1">
              <a:solidFill>
                <a:schemeClr val="bg1"/>
              </a:solidFill>
            </a:endParaRPr>
          </a:p>
        </c:rich>
      </c:tx>
      <c:layout>
        <c:manualLayout>
          <c:xMode val="edge"/>
          <c:yMode val="edge"/>
          <c:x val="0.19249999999999998"/>
          <c:y val="4.1666666666666664E-2"/>
        </c:manualLayout>
      </c:layout>
      <c:overlay val="0"/>
      <c:spPr>
        <a:solidFill>
          <a:srgbClr val="00B050"/>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16735902688924695"/>
          <c:y val="0.20358814523184601"/>
          <c:w val="0.71323535282313488"/>
          <c:h val="0.69827172645086033"/>
        </c:manualLayout>
      </c:layout>
      <c:barChart>
        <c:barDir val="col"/>
        <c:grouping val="clustered"/>
        <c:varyColors val="1"/>
        <c:ser>
          <c:idx val="0"/>
          <c:order val="0"/>
          <c:tx>
            <c:strRef>
              <c:f>Dashboard!$K$12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9F5-43BA-A1AF-AE8B45B29C9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9F5-43BA-A1AF-AE8B45B29C9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9F5-43BA-A1AF-AE8B45B29C95}"/>
              </c:ext>
            </c:extLst>
          </c:dPt>
          <c:cat>
            <c:strRef>
              <c:f>Dashboard!$J$13:$J$16</c:f>
              <c:strCache>
                <c:ptCount val="3"/>
                <c:pt idx="0">
                  <c:v>Neha</c:v>
                </c:pt>
                <c:pt idx="1">
                  <c:v>Priya</c:v>
                </c:pt>
                <c:pt idx="2">
                  <c:v>Vikas</c:v>
                </c:pt>
              </c:strCache>
            </c:strRef>
          </c:cat>
          <c:val>
            <c:numRef>
              <c:f>Dashboard!$K$13:$K$16</c:f>
              <c:numCache>
                <c:formatCode>General</c:formatCode>
                <c:ptCount val="3"/>
                <c:pt idx="0">
                  <c:v>5175369</c:v>
                </c:pt>
                <c:pt idx="1">
                  <c:v>5613447.5</c:v>
                </c:pt>
                <c:pt idx="2">
                  <c:v>4795499</c:v>
                </c:pt>
              </c:numCache>
            </c:numRef>
          </c:val>
          <c:extLst>
            <c:ext xmlns:c16="http://schemas.microsoft.com/office/drawing/2014/chart" uri="{C3380CC4-5D6E-409C-BE32-E72D297353CC}">
              <c16:uniqueId val="{00000000-99F1-41B7-B100-3DF6CE1699D2}"/>
            </c:ext>
          </c:extLst>
        </c:ser>
        <c:dLbls>
          <c:showLegendKey val="0"/>
          <c:showVal val="0"/>
          <c:showCatName val="0"/>
          <c:showSerName val="0"/>
          <c:showPercent val="0"/>
          <c:showBubbleSize val="0"/>
        </c:dLbls>
        <c:gapWidth val="219"/>
        <c:overlap val="-27"/>
        <c:axId val="415764095"/>
        <c:axId val="415760351"/>
      </c:barChart>
      <c:catAx>
        <c:axId val="41576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60351"/>
        <c:crosses val="autoZero"/>
        <c:auto val="1"/>
        <c:lblAlgn val="ctr"/>
        <c:lblOffset val="100"/>
        <c:noMultiLvlLbl val="0"/>
      </c:catAx>
      <c:valAx>
        <c:axId val="41576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6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chart" Target="../charts/chart3.xml"/><Relationship Id="rId7" Type="http://schemas.openxmlformats.org/officeDocument/2006/relationships/image" Target="../media/image11.jpeg"/><Relationship Id="rId12" Type="http://schemas.openxmlformats.org/officeDocument/2006/relationships/image" Target="../media/image1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0.sv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svg"/><Relationship Id="rId4" Type="http://schemas.openxmlformats.org/officeDocument/2006/relationships/chart" Target="../charts/chart4.xml"/><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66675</xdr:rowOff>
    </xdr:from>
    <xdr:to>
      <xdr:col>9</xdr:col>
      <xdr:colOff>533400</xdr:colOff>
      <xdr:row>6</xdr:row>
      <xdr:rowOff>142875</xdr:rowOff>
    </xdr:to>
    <xdr:sp macro="" textlink="">
      <xdr:nvSpPr>
        <xdr:cNvPr id="2" name="Rectangle: Rounded Corners 1">
          <a:extLst>
            <a:ext uri="{FF2B5EF4-FFF2-40B4-BE49-F238E27FC236}">
              <a16:creationId xmlns:a16="http://schemas.microsoft.com/office/drawing/2014/main" id="{EFF2B165-E975-4136-86F0-92EC33ACCFDC}"/>
            </a:ext>
          </a:extLst>
        </xdr:cNvPr>
        <xdr:cNvSpPr/>
      </xdr:nvSpPr>
      <xdr:spPr>
        <a:xfrm>
          <a:off x="0" y="447675"/>
          <a:ext cx="13420725" cy="89535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This project analyzes 500 sales transactions using Microsoft Excel to evaluate sales, profit, regional performance, product performance, salesperson contribution, and monthly trends. An interactive dashboard uses PivotTables, PivotCharts, KPI cards, and slicers to transform raw data into actionable business insights.</a:t>
          </a:r>
        </a:p>
        <a:p>
          <a:pPr algn="l"/>
          <a:endParaRPr lang="en-IN" sz="1100"/>
        </a:p>
      </xdr:txBody>
    </xdr:sp>
    <xdr:clientData/>
  </xdr:twoCellAnchor>
  <xdr:twoCellAnchor>
    <xdr:from>
      <xdr:col>0</xdr:col>
      <xdr:colOff>66675</xdr:colOff>
      <xdr:row>7</xdr:row>
      <xdr:rowOff>0</xdr:rowOff>
    </xdr:from>
    <xdr:to>
      <xdr:col>2</xdr:col>
      <xdr:colOff>2087475</xdr:colOff>
      <xdr:row>19</xdr:row>
      <xdr:rowOff>162000</xdr:rowOff>
    </xdr:to>
    <xdr:sp macro="" textlink="">
      <xdr:nvSpPr>
        <xdr:cNvPr id="3" name="Rectangle: Rounded Corners 2">
          <a:extLst>
            <a:ext uri="{FF2B5EF4-FFF2-40B4-BE49-F238E27FC236}">
              <a16:creationId xmlns:a16="http://schemas.microsoft.com/office/drawing/2014/main" id="{4689E14D-7142-4415-B03D-A3C076AE903D}"/>
            </a:ext>
          </a:extLst>
        </xdr:cNvPr>
        <xdr:cNvSpPr/>
      </xdr:nvSpPr>
      <xdr:spPr>
        <a:xfrm>
          <a:off x="66675" y="1390650"/>
          <a:ext cx="3240000" cy="2448000"/>
        </a:xfrm>
        <a:prstGeom prst="round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r"/>
          <a:endParaRPr lang="en-IN" sz="1100"/>
        </a:p>
        <a:p>
          <a:pPr lvl="1" algn="r"/>
          <a:r>
            <a:rPr lang="en-IN" sz="1100"/>
            <a:t>         </a:t>
          </a:r>
          <a:r>
            <a:rPr lang="en-IN" sz="2400" b="1">
              <a:solidFill>
                <a:srgbClr val="7030A0"/>
              </a:solidFill>
            </a:rPr>
            <a:t>Objective</a:t>
          </a:r>
        </a:p>
        <a:p>
          <a:pPr lvl="1" algn="r"/>
          <a:r>
            <a:rPr lang="en-IN" sz="2400" b="1">
              <a:solidFill>
                <a:sysClr val="windowText" lastClr="000000"/>
              </a:solidFill>
            </a:rPr>
            <a:t>        </a:t>
          </a:r>
          <a:r>
            <a:rPr lang="en-IN" sz="1400" b="1">
              <a:solidFill>
                <a:sysClr val="windowText" lastClr="000000"/>
              </a:solidFill>
            </a:rPr>
            <a:t>Analyze sales</a:t>
          </a:r>
          <a:r>
            <a:rPr lang="en-IN" sz="1400" b="1" baseline="0">
              <a:solidFill>
                <a:sysClr val="windowText" lastClr="000000"/>
              </a:solidFill>
            </a:rPr>
            <a:t> </a:t>
          </a:r>
          <a:r>
            <a:rPr lang="en-US" sz="1400" b="1">
              <a:solidFill>
                <a:sysClr val="windowText" lastClr="000000"/>
              </a:solidFill>
            </a:rPr>
            <a:t>performance and identify key business trends.</a:t>
          </a:r>
          <a:endParaRPr lang="en-IN" sz="1400" b="1">
            <a:solidFill>
              <a:sysClr val="windowText" lastClr="000000"/>
            </a:solidFill>
          </a:endParaRPr>
        </a:p>
      </xdr:txBody>
    </xdr:sp>
    <xdr:clientData/>
  </xdr:twoCellAnchor>
  <xdr:twoCellAnchor>
    <xdr:from>
      <xdr:col>2</xdr:col>
      <xdr:colOff>2209800</xdr:colOff>
      <xdr:row>7</xdr:row>
      <xdr:rowOff>0</xdr:rowOff>
    </xdr:from>
    <xdr:to>
      <xdr:col>2</xdr:col>
      <xdr:colOff>5449800</xdr:colOff>
      <xdr:row>19</xdr:row>
      <xdr:rowOff>162000</xdr:rowOff>
    </xdr:to>
    <xdr:sp macro="" textlink="">
      <xdr:nvSpPr>
        <xdr:cNvPr id="4" name="Rectangle: Rounded Corners 3">
          <a:extLst>
            <a:ext uri="{FF2B5EF4-FFF2-40B4-BE49-F238E27FC236}">
              <a16:creationId xmlns:a16="http://schemas.microsoft.com/office/drawing/2014/main" id="{FE329FDE-2F02-46A4-A5AA-5137C5E0A362}"/>
            </a:ext>
          </a:extLst>
        </xdr:cNvPr>
        <xdr:cNvSpPr/>
      </xdr:nvSpPr>
      <xdr:spPr>
        <a:xfrm>
          <a:off x="3429000" y="1390650"/>
          <a:ext cx="3240000" cy="244800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2400" b="1">
              <a:solidFill>
                <a:schemeClr val="accent6">
                  <a:lumMod val="50000"/>
                </a:schemeClr>
              </a:solidFill>
            </a:rPr>
            <a:t>Dataset</a:t>
          </a:r>
        </a:p>
        <a:p>
          <a:pPr lvl="1" algn="l"/>
          <a:r>
            <a:rPr lang="en-IN" sz="1600" b="1">
              <a:solidFill>
                <a:sysClr val="windowText" lastClr="000000"/>
              </a:solidFill>
            </a:rPr>
            <a:t>500 sales </a:t>
          </a:r>
          <a:r>
            <a:rPr lang="en-US" sz="1600" b="1">
              <a:solidFill>
                <a:sysClr val="windowText" lastClr="000000"/>
              </a:solidFill>
            </a:rPr>
            <a:t>transactions including product,region,salesperson,data,sales</a:t>
          </a:r>
          <a:r>
            <a:rPr lang="en-US" sz="1600" b="1" baseline="0">
              <a:solidFill>
                <a:sysClr val="windowText" lastClr="000000"/>
              </a:solidFill>
            </a:rPr>
            <a:t> and profit details</a:t>
          </a:r>
          <a:r>
            <a:rPr lang="en-US" sz="1800" b="1" baseline="0">
              <a:solidFill>
                <a:sysClr val="windowText" lastClr="000000"/>
              </a:solidFill>
            </a:rPr>
            <a:t>.</a:t>
          </a:r>
          <a:endParaRPr lang="en-IN" sz="1800" b="1">
            <a:solidFill>
              <a:sysClr val="windowText" lastClr="000000"/>
            </a:solidFill>
          </a:endParaRPr>
        </a:p>
      </xdr:txBody>
    </xdr:sp>
    <xdr:clientData/>
  </xdr:twoCellAnchor>
  <xdr:twoCellAnchor>
    <xdr:from>
      <xdr:col>2</xdr:col>
      <xdr:colOff>5534026</xdr:colOff>
      <xdr:row>7</xdr:row>
      <xdr:rowOff>0</xdr:rowOff>
    </xdr:from>
    <xdr:to>
      <xdr:col>4</xdr:col>
      <xdr:colOff>153901</xdr:colOff>
      <xdr:row>19</xdr:row>
      <xdr:rowOff>161925</xdr:rowOff>
    </xdr:to>
    <xdr:sp macro="" textlink="">
      <xdr:nvSpPr>
        <xdr:cNvPr id="5" name="Rectangle: Rounded Corners 4">
          <a:extLst>
            <a:ext uri="{FF2B5EF4-FFF2-40B4-BE49-F238E27FC236}">
              <a16:creationId xmlns:a16="http://schemas.microsoft.com/office/drawing/2014/main" id="{02E77000-D459-4294-AB67-AD37533AC9C5}"/>
            </a:ext>
          </a:extLst>
        </xdr:cNvPr>
        <xdr:cNvSpPr/>
      </xdr:nvSpPr>
      <xdr:spPr>
        <a:xfrm>
          <a:off x="6753226" y="1390650"/>
          <a:ext cx="3240000" cy="2447925"/>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2400" b="1">
              <a:solidFill>
                <a:srgbClr val="002060"/>
              </a:solidFill>
            </a:rPr>
            <a:t>          Tools Used</a:t>
          </a:r>
        </a:p>
        <a:p>
          <a:pPr algn="l"/>
          <a:r>
            <a:rPr lang="en-IN" sz="2400" b="1">
              <a:solidFill>
                <a:srgbClr val="002060"/>
              </a:solidFill>
            </a:rPr>
            <a:t>          </a:t>
          </a:r>
          <a:r>
            <a:rPr lang="en-IN" sz="2400" b="1" baseline="0">
              <a:solidFill>
                <a:srgbClr val="002060"/>
              </a:solidFill>
            </a:rPr>
            <a:t>  </a:t>
          </a:r>
          <a:r>
            <a:rPr lang="en-IN" sz="1800" b="1">
              <a:solidFill>
                <a:sysClr val="windowText" lastClr="000000"/>
              </a:solidFill>
            </a:rPr>
            <a:t>Excel</a:t>
          </a:r>
        </a:p>
        <a:p>
          <a:pPr algn="l"/>
          <a:r>
            <a:rPr lang="en-IN" sz="1800" b="1">
              <a:solidFill>
                <a:sysClr val="windowText" lastClr="000000"/>
              </a:solidFill>
            </a:rPr>
            <a:t>                Pivot</a:t>
          </a:r>
          <a:r>
            <a:rPr lang="en-IN" sz="1800" b="1" baseline="0">
              <a:solidFill>
                <a:sysClr val="windowText" lastClr="000000"/>
              </a:solidFill>
            </a:rPr>
            <a:t> Tables</a:t>
          </a:r>
        </a:p>
        <a:p>
          <a:pPr algn="l"/>
          <a:r>
            <a:rPr lang="en-IN" sz="1800" b="1" baseline="0">
              <a:solidFill>
                <a:sysClr val="windowText" lastClr="000000"/>
              </a:solidFill>
            </a:rPr>
            <a:t>                Pivot Chart</a:t>
          </a:r>
        </a:p>
        <a:p>
          <a:pPr algn="l"/>
          <a:r>
            <a:rPr lang="en-IN" sz="1800" b="1" baseline="0">
              <a:solidFill>
                <a:sysClr val="windowText" lastClr="000000"/>
              </a:solidFill>
            </a:rPr>
            <a:t>                Slicers</a:t>
          </a:r>
        </a:p>
        <a:p>
          <a:pPr algn="l"/>
          <a:r>
            <a:rPr lang="en-IN" sz="1800" b="1" baseline="0">
              <a:solidFill>
                <a:sysClr val="windowText" lastClr="000000"/>
              </a:solidFill>
            </a:rPr>
            <a:t>                </a:t>
          </a:r>
          <a:r>
            <a:rPr lang="en-US" sz="1800" b="1" baseline="0">
              <a:solidFill>
                <a:sysClr val="windowText" lastClr="000000"/>
              </a:solidFill>
            </a:rPr>
            <a:t>Visualization</a:t>
          </a:r>
        </a:p>
        <a:p>
          <a:pPr algn="l"/>
          <a:r>
            <a:rPr lang="en-US" sz="1800" b="1" baseline="0">
              <a:solidFill>
                <a:sysClr val="windowText" lastClr="000000"/>
              </a:solidFill>
            </a:rPr>
            <a:t>                KPI </a:t>
          </a:r>
          <a:endParaRPr lang="en-IN" sz="1800" b="1">
            <a:solidFill>
              <a:sysClr val="windowText" lastClr="000000"/>
            </a:solidFill>
          </a:endParaRPr>
        </a:p>
      </xdr:txBody>
    </xdr:sp>
    <xdr:clientData/>
  </xdr:twoCellAnchor>
  <xdr:twoCellAnchor>
    <xdr:from>
      <xdr:col>4</xdr:col>
      <xdr:colOff>180974</xdr:colOff>
      <xdr:row>7</xdr:row>
      <xdr:rowOff>0</xdr:rowOff>
    </xdr:from>
    <xdr:to>
      <xdr:col>9</xdr:col>
      <xdr:colOff>372974</xdr:colOff>
      <xdr:row>19</xdr:row>
      <xdr:rowOff>162000</xdr:rowOff>
    </xdr:to>
    <xdr:sp macro="" textlink="">
      <xdr:nvSpPr>
        <xdr:cNvPr id="6" name="Rectangle: Rounded Corners 5">
          <a:extLst>
            <a:ext uri="{FF2B5EF4-FFF2-40B4-BE49-F238E27FC236}">
              <a16:creationId xmlns:a16="http://schemas.microsoft.com/office/drawing/2014/main" id="{90B11555-FEE8-424B-8C7A-F42B080FC0BB}"/>
            </a:ext>
          </a:extLst>
        </xdr:cNvPr>
        <xdr:cNvSpPr/>
      </xdr:nvSpPr>
      <xdr:spPr>
        <a:xfrm>
          <a:off x="10020299" y="1390650"/>
          <a:ext cx="3240000" cy="2448000"/>
        </a:xfrm>
        <a:prstGeom prst="roundRect">
          <a:avLst/>
        </a:prstGeom>
        <a:ln>
          <a:solidFill>
            <a:schemeClr val="accent6">
              <a:lumMod val="50000"/>
            </a:schemeClr>
          </a:solidFill>
        </a:ln>
      </xdr:spPr>
      <xdr:style>
        <a:lnRef idx="2">
          <a:schemeClr val="accent2"/>
        </a:lnRef>
        <a:fillRef idx="1003">
          <a:schemeClr val="lt2"/>
        </a:fillRef>
        <a:effectRef idx="0">
          <a:schemeClr val="accent2"/>
        </a:effectRef>
        <a:fontRef idx="minor">
          <a:schemeClr val="dk1"/>
        </a:fontRef>
      </xdr:style>
      <xdr:txBody>
        <a:bodyPr vertOverflow="clip" horzOverflow="clip" rtlCol="0" anchor="t"/>
        <a:lstStyle/>
        <a:p>
          <a:pPr algn="l"/>
          <a:r>
            <a:rPr lang="en-IN" sz="2400" b="0" baseline="0">
              <a:solidFill>
                <a:schemeClr val="lt1"/>
              </a:solidFill>
            </a:rPr>
            <a:t>        </a:t>
          </a:r>
          <a:r>
            <a:rPr lang="en-IN" sz="2400" b="1">
              <a:solidFill>
                <a:schemeClr val="tx1">
                  <a:lumMod val="95000"/>
                  <a:lumOff val="5000"/>
                </a:schemeClr>
              </a:solidFill>
            </a:rPr>
            <a:t> </a:t>
          </a:r>
          <a:r>
            <a:rPr lang="en-IN" sz="2400" b="1">
              <a:solidFill>
                <a:srgbClr val="7030A0"/>
              </a:solidFill>
            </a:rPr>
            <a:t>Key Focus</a:t>
          </a:r>
        </a:p>
        <a:p>
          <a:pPr lvl="1" algn="l"/>
          <a:r>
            <a:rPr lang="en-IN" sz="2400" b="1">
              <a:solidFill>
                <a:srgbClr val="7030A0"/>
              </a:solidFill>
            </a:rPr>
            <a:t>  </a:t>
          </a:r>
          <a:r>
            <a:rPr lang="en-IN" sz="2400" b="1" baseline="0">
              <a:solidFill>
                <a:srgbClr val="7030A0"/>
              </a:solidFill>
            </a:rPr>
            <a:t>    </a:t>
          </a:r>
          <a:r>
            <a:rPr lang="en-IN" sz="1600" b="1" baseline="0">
              <a:solidFill>
                <a:sysClr val="windowText" lastClr="000000"/>
              </a:solidFill>
            </a:rPr>
            <a:t>Sales </a:t>
          </a:r>
          <a:r>
            <a:rPr lang="en-US" sz="1600" b="1" baseline="0">
              <a:solidFill>
                <a:sysClr val="windowText" lastClr="000000"/>
              </a:solidFill>
            </a:rPr>
            <a:t>Performance</a:t>
          </a:r>
        </a:p>
        <a:p>
          <a:pPr lvl="1" algn="l"/>
          <a:r>
            <a:rPr lang="en-US" sz="2400" b="1" baseline="0">
              <a:solidFill>
                <a:srgbClr val="7030A0"/>
              </a:solidFill>
            </a:rPr>
            <a:t>      </a:t>
          </a:r>
          <a:r>
            <a:rPr lang="en-US" sz="1600" b="1" baseline="0">
              <a:solidFill>
                <a:sysClr val="windowText" lastClr="000000"/>
              </a:solidFill>
            </a:rPr>
            <a:t>Profit Analysis</a:t>
          </a:r>
        </a:p>
        <a:p>
          <a:pPr lvl="1" algn="l"/>
          <a:r>
            <a:rPr lang="en-IN" sz="1600" b="1">
              <a:solidFill>
                <a:sysClr val="windowText" lastClr="000000"/>
              </a:solidFill>
            </a:rPr>
            <a:t>   </a:t>
          </a:r>
          <a:r>
            <a:rPr lang="en-IN" sz="1600" b="0" baseline="0">
              <a:solidFill>
                <a:sysClr val="windowText" lastClr="000000"/>
              </a:solidFill>
            </a:rPr>
            <a:t> </a:t>
          </a:r>
          <a:r>
            <a:rPr lang="en-IN" sz="1600" b="0">
              <a:solidFill>
                <a:sysClr val="windowText" lastClr="000000"/>
              </a:solidFill>
            </a:rPr>
            <a:t>     </a:t>
          </a:r>
          <a:r>
            <a:rPr lang="en-IN" sz="1600" b="1">
              <a:solidFill>
                <a:sysClr val="windowText" lastClr="000000"/>
              </a:solidFill>
            </a:rPr>
            <a:t>Regional</a:t>
          </a:r>
          <a:r>
            <a:rPr lang="en-IN" sz="1600" b="1" baseline="0">
              <a:solidFill>
                <a:sysClr val="windowText" lastClr="000000"/>
              </a:solidFill>
            </a:rPr>
            <a:t> </a:t>
          </a:r>
          <a:r>
            <a:rPr lang="en-US" sz="1600" b="1" baseline="0">
              <a:solidFill>
                <a:sysClr val="windowText" lastClr="000000"/>
              </a:solidFill>
            </a:rPr>
            <a:t>Performance</a:t>
          </a:r>
        </a:p>
        <a:p>
          <a:pPr lvl="1" algn="l"/>
          <a:r>
            <a:rPr lang="en-IN" sz="1600" b="1">
              <a:solidFill>
                <a:sysClr val="windowText" lastClr="000000"/>
              </a:solidFill>
            </a:rPr>
            <a:t>         </a:t>
          </a:r>
          <a:r>
            <a:rPr lang="en-US" sz="1600" b="1">
              <a:solidFill>
                <a:sysClr val="windowText" lastClr="000000"/>
              </a:solidFill>
            </a:rPr>
            <a:t>Monthly Trends</a:t>
          </a:r>
        </a:p>
        <a:p>
          <a:pPr lvl="1" algn="l"/>
          <a:r>
            <a:rPr lang="en-US" sz="1600" b="1">
              <a:solidFill>
                <a:sysClr val="windowText" lastClr="000000"/>
              </a:solidFill>
            </a:rPr>
            <a:t>         Product Performance </a:t>
          </a:r>
          <a:endParaRPr lang="en-IN" sz="1600" b="1">
            <a:solidFill>
              <a:sysClr val="windowText" lastClr="000000"/>
            </a:solidFill>
          </a:endParaRPr>
        </a:p>
      </xdr:txBody>
    </xdr:sp>
    <xdr:clientData/>
  </xdr:twoCellAnchor>
  <xdr:twoCellAnchor editAs="oneCell">
    <xdr:from>
      <xdr:col>0</xdr:col>
      <xdr:colOff>438149</xdr:colOff>
      <xdr:row>8</xdr:row>
      <xdr:rowOff>133349</xdr:rowOff>
    </xdr:from>
    <xdr:to>
      <xdr:col>1</xdr:col>
      <xdr:colOff>342900</xdr:colOff>
      <xdr:row>10</xdr:row>
      <xdr:rowOff>152400</xdr:rowOff>
    </xdr:to>
    <xdr:pic>
      <xdr:nvPicPr>
        <xdr:cNvPr id="8" name="Graphic 7" descr="Bullseye with solid fill">
          <a:extLst>
            <a:ext uri="{FF2B5EF4-FFF2-40B4-BE49-F238E27FC236}">
              <a16:creationId xmlns:a16="http://schemas.microsoft.com/office/drawing/2014/main" id="{05E03C2A-8557-41EE-9B0B-487BF4F0B7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38149" y="1714499"/>
          <a:ext cx="514351" cy="400051"/>
        </a:xfrm>
        <a:prstGeom prst="rect">
          <a:avLst/>
        </a:prstGeom>
      </xdr:spPr>
    </xdr:pic>
    <xdr:clientData/>
  </xdr:twoCellAnchor>
  <xdr:twoCellAnchor editAs="oneCell">
    <xdr:from>
      <xdr:col>2</xdr:col>
      <xdr:colOff>2190750</xdr:colOff>
      <xdr:row>8</xdr:row>
      <xdr:rowOff>123825</xdr:rowOff>
    </xdr:from>
    <xdr:to>
      <xdr:col>2</xdr:col>
      <xdr:colOff>2724150</xdr:colOff>
      <xdr:row>10</xdr:row>
      <xdr:rowOff>133350</xdr:rowOff>
    </xdr:to>
    <xdr:pic>
      <xdr:nvPicPr>
        <xdr:cNvPr id="10" name="Graphic 9" descr="Database with solid fill">
          <a:extLst>
            <a:ext uri="{FF2B5EF4-FFF2-40B4-BE49-F238E27FC236}">
              <a16:creationId xmlns:a16="http://schemas.microsoft.com/office/drawing/2014/main" id="{CEEA0BB3-680C-4828-8B21-066D4955E1C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409950" y="1704975"/>
          <a:ext cx="533400" cy="390525"/>
        </a:xfrm>
        <a:prstGeom prst="rect">
          <a:avLst/>
        </a:prstGeom>
      </xdr:spPr>
    </xdr:pic>
    <xdr:clientData/>
  </xdr:twoCellAnchor>
  <xdr:twoCellAnchor editAs="oneCell">
    <xdr:from>
      <xdr:col>2</xdr:col>
      <xdr:colOff>5648324</xdr:colOff>
      <xdr:row>8</xdr:row>
      <xdr:rowOff>66675</xdr:rowOff>
    </xdr:from>
    <xdr:to>
      <xdr:col>2</xdr:col>
      <xdr:colOff>6181725</xdr:colOff>
      <xdr:row>10</xdr:row>
      <xdr:rowOff>95250</xdr:rowOff>
    </xdr:to>
    <xdr:pic>
      <xdr:nvPicPr>
        <xdr:cNvPr id="12" name="Graphic 11" descr="Tools with solid fill">
          <a:extLst>
            <a:ext uri="{FF2B5EF4-FFF2-40B4-BE49-F238E27FC236}">
              <a16:creationId xmlns:a16="http://schemas.microsoft.com/office/drawing/2014/main" id="{33ECAE0A-EFB1-4842-8282-9721691E1C5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867524" y="1647825"/>
          <a:ext cx="533401" cy="409575"/>
        </a:xfrm>
        <a:prstGeom prst="rect">
          <a:avLst/>
        </a:prstGeom>
      </xdr:spPr>
    </xdr:pic>
    <xdr:clientData/>
  </xdr:twoCellAnchor>
  <xdr:twoCellAnchor editAs="oneCell">
    <xdr:from>
      <xdr:col>4</xdr:col>
      <xdr:colOff>257175</xdr:colOff>
      <xdr:row>7</xdr:row>
      <xdr:rowOff>171450</xdr:rowOff>
    </xdr:from>
    <xdr:to>
      <xdr:col>5</xdr:col>
      <xdr:colOff>209550</xdr:colOff>
      <xdr:row>10</xdr:row>
      <xdr:rowOff>104775</xdr:rowOff>
    </xdr:to>
    <xdr:pic>
      <xdr:nvPicPr>
        <xdr:cNvPr id="14" name="Graphic 13" descr="Lightbulb with solid fill">
          <a:extLst>
            <a:ext uri="{FF2B5EF4-FFF2-40B4-BE49-F238E27FC236}">
              <a16:creationId xmlns:a16="http://schemas.microsoft.com/office/drawing/2014/main" id="{D4673864-395D-4CA9-9730-A1D56BE2130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096500" y="1562100"/>
          <a:ext cx="561975" cy="504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447559</xdr:colOff>
      <xdr:row>8</xdr:row>
      <xdr:rowOff>44263</xdr:rowOff>
    </xdr:from>
    <xdr:to>
      <xdr:col>15</xdr:col>
      <xdr:colOff>103284</xdr:colOff>
      <xdr:row>21</xdr:row>
      <xdr:rowOff>91806</xdr:rowOff>
    </xdr:to>
    <mc:AlternateContent xmlns:mc="http://schemas.openxmlformats.org/markup-compatibility/2006" xmlns:a14="http://schemas.microsoft.com/office/drawing/2010/main">
      <mc:Choice Requires="a14">
        <xdr:graphicFrame macro="">
          <xdr:nvGraphicFramePr>
            <xdr:cNvPr id="2" name="Salesperson 1">
              <a:extLst>
                <a:ext uri="{FF2B5EF4-FFF2-40B4-BE49-F238E27FC236}">
                  <a16:creationId xmlns:a16="http://schemas.microsoft.com/office/drawing/2014/main" id="{EA9E174D-F3C7-4903-8F6B-145E6EC117F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8354458" y="1604986"/>
              <a:ext cx="2914880" cy="2950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25</xdr:row>
      <xdr:rowOff>105928</xdr:rowOff>
    </xdr:from>
    <xdr:to>
      <xdr:col>4</xdr:col>
      <xdr:colOff>218042</xdr:colOff>
      <xdr:row>39</xdr:row>
      <xdr:rowOff>63346</xdr:rowOff>
    </xdr:to>
    <xdr:graphicFrame macro="">
      <xdr:nvGraphicFramePr>
        <xdr:cNvPr id="3" name="Chart 2">
          <a:extLst>
            <a:ext uri="{FF2B5EF4-FFF2-40B4-BE49-F238E27FC236}">
              <a16:creationId xmlns:a16="http://schemas.microsoft.com/office/drawing/2014/main" id="{0E8CAB2E-1EC7-4E59-831E-DD51FBD2B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248692</xdr:colOff>
      <xdr:row>25</xdr:row>
      <xdr:rowOff>105946</xdr:rowOff>
    </xdr:from>
    <xdr:to>
      <xdr:col>9</xdr:col>
      <xdr:colOff>504940</xdr:colOff>
      <xdr:row>39</xdr:row>
      <xdr:rowOff>63346</xdr:rowOff>
    </xdr:to>
    <xdr:graphicFrame macro="">
      <xdr:nvGraphicFramePr>
        <xdr:cNvPr id="4" name="Chart 3">
          <a:extLst>
            <a:ext uri="{FF2B5EF4-FFF2-40B4-BE49-F238E27FC236}">
              <a16:creationId xmlns:a16="http://schemas.microsoft.com/office/drawing/2014/main" id="{765458A8-E29E-4867-8EFB-F8A75CF19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516416</xdr:colOff>
      <xdr:row>25</xdr:row>
      <xdr:rowOff>105946</xdr:rowOff>
    </xdr:from>
    <xdr:to>
      <xdr:col>14</xdr:col>
      <xdr:colOff>654127</xdr:colOff>
      <xdr:row>39</xdr:row>
      <xdr:rowOff>63346</xdr:rowOff>
    </xdr:to>
    <xdr:graphicFrame macro="">
      <xdr:nvGraphicFramePr>
        <xdr:cNvPr id="5" name="Chart 4">
          <a:extLst>
            <a:ext uri="{FF2B5EF4-FFF2-40B4-BE49-F238E27FC236}">
              <a16:creationId xmlns:a16="http://schemas.microsoft.com/office/drawing/2014/main" id="{28453DC4-7FB0-48BC-803C-C558AB09B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45906</xdr:rowOff>
    </xdr:from>
    <xdr:to>
      <xdr:col>4</xdr:col>
      <xdr:colOff>149187</xdr:colOff>
      <xdr:row>7</xdr:row>
      <xdr:rowOff>137712</xdr:rowOff>
    </xdr:to>
    <xdr:sp macro="" textlink="">
      <xdr:nvSpPr>
        <xdr:cNvPr id="14" name="Rectangle: Rounded Corners 13">
          <a:extLst>
            <a:ext uri="{FF2B5EF4-FFF2-40B4-BE49-F238E27FC236}">
              <a16:creationId xmlns:a16="http://schemas.microsoft.com/office/drawing/2014/main" id="{ACA22C2C-276F-412F-A2DB-E4AD4E56E550}"/>
            </a:ext>
          </a:extLst>
        </xdr:cNvPr>
        <xdr:cNvSpPr/>
      </xdr:nvSpPr>
      <xdr:spPr>
        <a:xfrm>
          <a:off x="0" y="631177"/>
          <a:ext cx="3121446" cy="872168"/>
        </a:xfrm>
        <a:prstGeom prst="roundRect">
          <a:avLst/>
        </a:prstGeom>
        <a:solidFill>
          <a:schemeClr val="bg1">
            <a:lumMod val="95000"/>
          </a:schemeClr>
        </a:solidFill>
        <a:ln>
          <a:solidFill>
            <a:schemeClr val="accent6">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800" b="1">
              <a:solidFill>
                <a:schemeClr val="tx1"/>
              </a:solidFill>
            </a:rPr>
            <a:t>Total Sales </a:t>
          </a:r>
        </a:p>
        <a:p>
          <a:pPr algn="ctr"/>
          <a:r>
            <a:rPr lang="en-IN" sz="2000" b="1">
              <a:solidFill>
                <a:schemeClr val="tx1"/>
              </a:solidFill>
            </a:rPr>
            <a:t>2,95,10,433</a:t>
          </a:r>
        </a:p>
      </xdr:txBody>
    </xdr:sp>
    <xdr:clientData/>
  </xdr:twoCellAnchor>
  <xdr:twoCellAnchor>
    <xdr:from>
      <xdr:col>4</xdr:col>
      <xdr:colOff>263947</xdr:colOff>
      <xdr:row>3</xdr:row>
      <xdr:rowOff>34432</xdr:rowOff>
    </xdr:from>
    <xdr:to>
      <xdr:col>9</xdr:col>
      <xdr:colOff>734458</xdr:colOff>
      <xdr:row>7</xdr:row>
      <xdr:rowOff>137714</xdr:rowOff>
    </xdr:to>
    <xdr:sp macro="" textlink="">
      <xdr:nvSpPr>
        <xdr:cNvPr id="15" name="Rectangle: Rounded Corners 14">
          <a:extLst>
            <a:ext uri="{FF2B5EF4-FFF2-40B4-BE49-F238E27FC236}">
              <a16:creationId xmlns:a16="http://schemas.microsoft.com/office/drawing/2014/main" id="{5DE0B170-CA97-4D1D-A77E-5A65C46E3A77}"/>
            </a:ext>
          </a:extLst>
        </xdr:cNvPr>
        <xdr:cNvSpPr/>
      </xdr:nvSpPr>
      <xdr:spPr>
        <a:xfrm>
          <a:off x="3236206" y="619703"/>
          <a:ext cx="3591957" cy="883644"/>
        </a:xfrm>
        <a:prstGeom prst="roundRect">
          <a:avLst/>
        </a:prstGeom>
        <a:solidFill>
          <a:schemeClr val="bg1">
            <a:lumMod val="95000"/>
          </a:schemeClr>
        </a:solidFill>
        <a:ln>
          <a:solidFill>
            <a:schemeClr val="accent6">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800" b="1">
              <a:solidFill>
                <a:schemeClr val="tx1"/>
              </a:solidFill>
            </a:rPr>
            <a:t>Total Profit </a:t>
          </a:r>
        </a:p>
        <a:p>
          <a:pPr algn="ctr"/>
          <a:r>
            <a:rPr lang="en-IN" sz="2000" b="1">
              <a:solidFill>
                <a:schemeClr val="tx1"/>
              </a:solidFill>
            </a:rPr>
            <a:t>8,151,749 </a:t>
          </a:r>
        </a:p>
      </xdr:txBody>
    </xdr:sp>
    <xdr:clientData/>
  </xdr:twoCellAnchor>
  <xdr:twoCellAnchor>
    <xdr:from>
      <xdr:col>9</xdr:col>
      <xdr:colOff>860691</xdr:colOff>
      <xdr:row>3</xdr:row>
      <xdr:rowOff>57381</xdr:rowOff>
    </xdr:from>
    <xdr:to>
      <xdr:col>14</xdr:col>
      <xdr:colOff>631175</xdr:colOff>
      <xdr:row>7</xdr:row>
      <xdr:rowOff>160664</xdr:rowOff>
    </xdr:to>
    <xdr:sp macro="" textlink="">
      <xdr:nvSpPr>
        <xdr:cNvPr id="16" name="Rectangle: Rounded Corners 15">
          <a:extLst>
            <a:ext uri="{FF2B5EF4-FFF2-40B4-BE49-F238E27FC236}">
              <a16:creationId xmlns:a16="http://schemas.microsoft.com/office/drawing/2014/main" id="{C1E0540C-8D0C-4823-B7C5-96F0B5E24438}"/>
            </a:ext>
          </a:extLst>
        </xdr:cNvPr>
        <xdr:cNvSpPr/>
      </xdr:nvSpPr>
      <xdr:spPr>
        <a:xfrm>
          <a:off x="6954396" y="642652"/>
          <a:ext cx="3901809" cy="883645"/>
        </a:xfrm>
        <a:prstGeom prst="roundRect">
          <a:avLst/>
        </a:prstGeom>
        <a:solidFill>
          <a:schemeClr val="bg1">
            <a:lumMod val="95000"/>
          </a:schemeClr>
        </a:solidFill>
        <a:ln>
          <a:solidFill>
            <a:schemeClr val="accent6">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800" b="1">
              <a:solidFill>
                <a:schemeClr val="tx1"/>
              </a:solidFill>
            </a:rPr>
            <a:t>Total Orders </a:t>
          </a:r>
        </a:p>
        <a:p>
          <a:pPr algn="ctr"/>
          <a:r>
            <a:rPr lang="en-IN" sz="2000" b="1">
              <a:solidFill>
                <a:schemeClr val="tx1"/>
              </a:solidFill>
            </a:rPr>
            <a:t>798</a:t>
          </a:r>
        </a:p>
      </xdr:txBody>
    </xdr:sp>
    <xdr:clientData/>
  </xdr:twoCellAnchor>
  <xdr:twoCellAnchor>
    <xdr:from>
      <xdr:col>15</xdr:col>
      <xdr:colOff>11475</xdr:colOff>
      <xdr:row>3</xdr:row>
      <xdr:rowOff>68858</xdr:rowOff>
    </xdr:from>
    <xdr:to>
      <xdr:col>18</xdr:col>
      <xdr:colOff>11474</xdr:colOff>
      <xdr:row>7</xdr:row>
      <xdr:rowOff>149188</xdr:rowOff>
    </xdr:to>
    <xdr:sp macro="" textlink="">
      <xdr:nvSpPr>
        <xdr:cNvPr id="17" name="Rectangle: Rounded Corners 16">
          <a:extLst>
            <a:ext uri="{FF2B5EF4-FFF2-40B4-BE49-F238E27FC236}">
              <a16:creationId xmlns:a16="http://schemas.microsoft.com/office/drawing/2014/main" id="{FF69088A-3BDD-4D9D-AF5B-45741DBE0049}"/>
            </a:ext>
          </a:extLst>
        </xdr:cNvPr>
        <xdr:cNvSpPr/>
      </xdr:nvSpPr>
      <xdr:spPr>
        <a:xfrm>
          <a:off x="11028342" y="654129"/>
          <a:ext cx="4314939" cy="860692"/>
        </a:xfrm>
        <a:prstGeom prst="roundRect">
          <a:avLst/>
        </a:prstGeom>
        <a:solidFill>
          <a:schemeClr val="bg1">
            <a:lumMod val="95000"/>
          </a:schemeClr>
        </a:solidFill>
        <a:ln>
          <a:solidFill>
            <a:schemeClr val="accent6">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800" b="1">
              <a:solidFill>
                <a:schemeClr val="tx1"/>
              </a:solidFill>
            </a:rPr>
            <a:t>Total Salesperson       </a:t>
          </a:r>
        </a:p>
        <a:p>
          <a:pPr algn="ctr"/>
          <a:r>
            <a:rPr lang="en-IN" sz="2000" b="1">
              <a:solidFill>
                <a:schemeClr val="tx1"/>
              </a:solidFill>
            </a:rPr>
            <a:t>6</a:t>
          </a:r>
        </a:p>
      </xdr:txBody>
    </xdr:sp>
    <xdr:clientData/>
  </xdr:twoCellAnchor>
  <xdr:twoCellAnchor>
    <xdr:from>
      <xdr:col>0</xdr:col>
      <xdr:colOff>0</xdr:colOff>
      <xdr:row>8</xdr:row>
      <xdr:rowOff>34427</xdr:rowOff>
    </xdr:from>
    <xdr:to>
      <xdr:col>2</xdr:col>
      <xdr:colOff>11476</xdr:colOff>
      <xdr:row>10</xdr:row>
      <xdr:rowOff>160659</xdr:rowOff>
    </xdr:to>
    <xdr:sp macro="" textlink="">
      <xdr:nvSpPr>
        <xdr:cNvPr id="19" name="Rectangle: Rounded Corners 18">
          <a:extLst>
            <a:ext uri="{FF2B5EF4-FFF2-40B4-BE49-F238E27FC236}">
              <a16:creationId xmlns:a16="http://schemas.microsoft.com/office/drawing/2014/main" id="{D5D7AE42-966C-496C-A530-8D48CC3B5020}"/>
            </a:ext>
          </a:extLst>
        </xdr:cNvPr>
        <xdr:cNvSpPr/>
      </xdr:nvSpPr>
      <xdr:spPr>
        <a:xfrm>
          <a:off x="0" y="1595150"/>
          <a:ext cx="2364036" cy="516413"/>
        </a:xfrm>
        <a:prstGeom prst="roundRect">
          <a:avLst/>
        </a:prstGeom>
        <a:solidFill>
          <a:srgbClr val="00B050"/>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Region Wise Sales</a:t>
          </a:r>
        </a:p>
      </xdr:txBody>
    </xdr:sp>
    <xdr:clientData/>
  </xdr:twoCellAnchor>
  <xdr:twoCellAnchor>
    <xdr:from>
      <xdr:col>2</xdr:col>
      <xdr:colOff>344277</xdr:colOff>
      <xdr:row>8</xdr:row>
      <xdr:rowOff>34426</xdr:rowOff>
    </xdr:from>
    <xdr:to>
      <xdr:col>5</xdr:col>
      <xdr:colOff>22952</xdr:colOff>
      <xdr:row>10</xdr:row>
      <xdr:rowOff>160660</xdr:rowOff>
    </xdr:to>
    <xdr:sp macro="" textlink="">
      <xdr:nvSpPr>
        <xdr:cNvPr id="20" name="Rectangle: Rounded Corners 19">
          <a:extLst>
            <a:ext uri="{FF2B5EF4-FFF2-40B4-BE49-F238E27FC236}">
              <a16:creationId xmlns:a16="http://schemas.microsoft.com/office/drawing/2014/main" id="{C54658D8-AE7B-43D1-8FF1-8AF08C1F1E0E}"/>
            </a:ext>
          </a:extLst>
        </xdr:cNvPr>
        <xdr:cNvSpPr/>
      </xdr:nvSpPr>
      <xdr:spPr>
        <a:xfrm>
          <a:off x="2696837" y="1595149"/>
          <a:ext cx="2501748" cy="516415"/>
        </a:xfrm>
        <a:prstGeom prst="roundRect">
          <a:avLst/>
        </a:prstGeom>
        <a:solidFill>
          <a:srgbClr val="00B050"/>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Category Wise Sales</a:t>
          </a:r>
        </a:p>
      </xdr:txBody>
    </xdr:sp>
    <xdr:clientData/>
  </xdr:twoCellAnchor>
  <xdr:twoCellAnchor>
    <xdr:from>
      <xdr:col>6</xdr:col>
      <xdr:colOff>2411</xdr:colOff>
      <xdr:row>8</xdr:row>
      <xdr:rowOff>22949</xdr:rowOff>
    </xdr:from>
    <xdr:to>
      <xdr:col>8</xdr:col>
      <xdr:colOff>45904</xdr:colOff>
      <xdr:row>10</xdr:row>
      <xdr:rowOff>160660</xdr:rowOff>
    </xdr:to>
    <xdr:sp macro="" textlink="">
      <xdr:nvSpPr>
        <xdr:cNvPr id="21" name="Rectangle: Rounded Corners 20">
          <a:extLst>
            <a:ext uri="{FF2B5EF4-FFF2-40B4-BE49-F238E27FC236}">
              <a16:creationId xmlns:a16="http://schemas.microsoft.com/office/drawing/2014/main" id="{A63BDD47-CA6D-40F8-830A-2C9FF74A22DC}"/>
            </a:ext>
          </a:extLst>
        </xdr:cNvPr>
        <xdr:cNvSpPr/>
      </xdr:nvSpPr>
      <xdr:spPr>
        <a:xfrm>
          <a:off x="5120664" y="1583672"/>
          <a:ext cx="2074728" cy="527892"/>
        </a:xfrm>
        <a:prstGeom prst="roundRect">
          <a:avLst/>
        </a:prstGeom>
        <a:solidFill>
          <a:srgbClr val="00B050"/>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Month</a:t>
          </a:r>
          <a:r>
            <a:rPr lang="en-IN" sz="1800" b="1" baseline="0">
              <a:solidFill>
                <a:schemeClr val="bg1"/>
              </a:solidFill>
            </a:rPr>
            <a:t> Wise Sales</a:t>
          </a:r>
          <a:endParaRPr lang="en-IN" sz="1800" b="1">
            <a:solidFill>
              <a:schemeClr val="bg1"/>
            </a:solidFill>
          </a:endParaRPr>
        </a:p>
      </xdr:txBody>
    </xdr:sp>
    <xdr:clientData/>
  </xdr:twoCellAnchor>
  <xdr:twoCellAnchor>
    <xdr:from>
      <xdr:col>8</xdr:col>
      <xdr:colOff>447559</xdr:colOff>
      <xdr:row>8</xdr:row>
      <xdr:rowOff>11474</xdr:rowOff>
    </xdr:from>
    <xdr:to>
      <xdr:col>11</xdr:col>
      <xdr:colOff>22951</xdr:colOff>
      <xdr:row>10</xdr:row>
      <xdr:rowOff>160660</xdr:rowOff>
    </xdr:to>
    <xdr:sp macro="" textlink="">
      <xdr:nvSpPr>
        <xdr:cNvPr id="22" name="Rectangle: Rounded Corners 21">
          <a:extLst>
            <a:ext uri="{FF2B5EF4-FFF2-40B4-BE49-F238E27FC236}">
              <a16:creationId xmlns:a16="http://schemas.microsoft.com/office/drawing/2014/main" id="{B0BCBF1E-C12E-4CB3-B2B7-06CE18BCDB60}"/>
            </a:ext>
          </a:extLst>
        </xdr:cNvPr>
        <xdr:cNvSpPr/>
      </xdr:nvSpPr>
      <xdr:spPr>
        <a:xfrm>
          <a:off x="7734758" y="1572197"/>
          <a:ext cx="2719789" cy="539367"/>
        </a:xfrm>
        <a:prstGeom prst="roundRect">
          <a:avLst/>
        </a:prstGeom>
        <a:solidFill>
          <a:srgbClr val="00B050"/>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Salesperson Wise</a:t>
          </a:r>
          <a:r>
            <a:rPr lang="en-IN" sz="1800" b="1" baseline="0">
              <a:solidFill>
                <a:schemeClr val="bg1"/>
              </a:solidFill>
            </a:rPr>
            <a:t> Sales</a:t>
          </a:r>
          <a:endParaRPr lang="en-IN" sz="1800" b="1">
            <a:solidFill>
              <a:schemeClr val="bg1"/>
            </a:solidFill>
          </a:endParaRPr>
        </a:p>
      </xdr:txBody>
    </xdr:sp>
    <xdr:clientData/>
  </xdr:twoCellAnchor>
  <xdr:twoCellAnchor>
    <xdr:from>
      <xdr:col>14</xdr:col>
      <xdr:colOff>677078</xdr:colOff>
      <xdr:row>25</xdr:row>
      <xdr:rowOff>91807</xdr:rowOff>
    </xdr:from>
    <xdr:to>
      <xdr:col>18</xdr:col>
      <xdr:colOff>34427</xdr:colOff>
      <xdr:row>39</xdr:row>
      <xdr:rowOff>40394</xdr:rowOff>
    </xdr:to>
    <xdr:graphicFrame macro="">
      <xdr:nvGraphicFramePr>
        <xdr:cNvPr id="23" name="Chart 22">
          <a:extLst>
            <a:ext uri="{FF2B5EF4-FFF2-40B4-BE49-F238E27FC236}">
              <a16:creationId xmlns:a16="http://schemas.microsoft.com/office/drawing/2014/main" id="{82B77B0C-D730-47D2-8D71-EF574C9DC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206566</xdr:colOff>
      <xdr:row>3</xdr:row>
      <xdr:rowOff>45904</xdr:rowOff>
    </xdr:from>
    <xdr:to>
      <xdr:col>16</xdr:col>
      <xdr:colOff>172138</xdr:colOff>
      <xdr:row>7</xdr:row>
      <xdr:rowOff>11476</xdr:rowOff>
    </xdr:to>
    <xdr:pic>
      <xdr:nvPicPr>
        <xdr:cNvPr id="25" name="Graphic 24" descr="Users with solid fill">
          <a:extLst>
            <a:ext uri="{FF2B5EF4-FFF2-40B4-BE49-F238E27FC236}">
              <a16:creationId xmlns:a16="http://schemas.microsoft.com/office/drawing/2014/main" id="{A17648A7-764C-48DF-96CE-39EA77C267C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223433" y="631175"/>
          <a:ext cx="757410" cy="745934"/>
        </a:xfrm>
        <a:prstGeom prst="rect">
          <a:avLst/>
        </a:prstGeom>
      </xdr:spPr>
    </xdr:pic>
    <xdr:clientData/>
  </xdr:twoCellAnchor>
  <xdr:twoCellAnchor editAs="oneCell">
    <xdr:from>
      <xdr:col>0</xdr:col>
      <xdr:colOff>137712</xdr:colOff>
      <xdr:row>4</xdr:row>
      <xdr:rowOff>11478</xdr:rowOff>
    </xdr:from>
    <xdr:to>
      <xdr:col>1</xdr:col>
      <xdr:colOff>80334</xdr:colOff>
      <xdr:row>6</xdr:row>
      <xdr:rowOff>80333</xdr:rowOff>
    </xdr:to>
    <xdr:pic>
      <xdr:nvPicPr>
        <xdr:cNvPr id="29" name="Picture 28">
          <a:extLst>
            <a:ext uri="{FF2B5EF4-FFF2-40B4-BE49-F238E27FC236}">
              <a16:creationId xmlns:a16="http://schemas.microsoft.com/office/drawing/2014/main" id="{735BD3A8-DA13-4AAC-BF9E-FF297B8F0D8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7712" y="791839"/>
          <a:ext cx="700032" cy="45903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10</xdr:col>
      <xdr:colOff>11477</xdr:colOff>
      <xdr:row>3</xdr:row>
      <xdr:rowOff>160663</xdr:rowOff>
    </xdr:from>
    <xdr:to>
      <xdr:col>10</xdr:col>
      <xdr:colOff>573795</xdr:colOff>
      <xdr:row>6</xdr:row>
      <xdr:rowOff>1360</xdr:rowOff>
    </xdr:to>
    <xdr:pic>
      <xdr:nvPicPr>
        <xdr:cNvPr id="34" name="Picture 33">
          <a:extLst>
            <a:ext uri="{FF2B5EF4-FFF2-40B4-BE49-F238E27FC236}">
              <a16:creationId xmlns:a16="http://schemas.microsoft.com/office/drawing/2014/main" id="{3F5C182E-CDC1-45D7-BAE9-18A1CEAEDB1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046206" y="745934"/>
          <a:ext cx="562318" cy="424607"/>
        </a:xfrm>
        <a:prstGeom prst="rect">
          <a:avLst/>
        </a:prstGeom>
      </xdr:spPr>
    </xdr:pic>
    <xdr:clientData/>
  </xdr:twoCellAnchor>
  <xdr:twoCellAnchor editAs="oneCell">
    <xdr:from>
      <xdr:col>1</xdr:col>
      <xdr:colOff>192794</xdr:colOff>
      <xdr:row>0</xdr:row>
      <xdr:rowOff>0</xdr:rowOff>
    </xdr:from>
    <xdr:to>
      <xdr:col>2</xdr:col>
      <xdr:colOff>51411</xdr:colOff>
      <xdr:row>3</xdr:row>
      <xdr:rowOff>34427</xdr:rowOff>
    </xdr:to>
    <xdr:pic>
      <xdr:nvPicPr>
        <xdr:cNvPr id="42" name="Graphic 41" descr="Bar graph with upward trend with solid fill">
          <a:extLst>
            <a:ext uri="{FF2B5EF4-FFF2-40B4-BE49-F238E27FC236}">
              <a16:creationId xmlns:a16="http://schemas.microsoft.com/office/drawing/2014/main" id="{BCD90C84-AA45-4D3B-A7BE-697C9BDF89A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50204" y="0"/>
          <a:ext cx="673406" cy="619698"/>
        </a:xfrm>
        <a:prstGeom prst="rect">
          <a:avLst/>
        </a:prstGeom>
      </xdr:spPr>
    </xdr:pic>
    <xdr:clientData/>
  </xdr:twoCellAnchor>
  <xdr:twoCellAnchor editAs="oneCell">
    <xdr:from>
      <xdr:col>4</xdr:col>
      <xdr:colOff>504941</xdr:colOff>
      <xdr:row>4</xdr:row>
      <xdr:rowOff>68856</xdr:rowOff>
    </xdr:from>
    <xdr:to>
      <xdr:col>6</xdr:col>
      <xdr:colOff>126236</xdr:colOff>
      <xdr:row>7</xdr:row>
      <xdr:rowOff>5021</xdr:rowOff>
    </xdr:to>
    <xdr:pic>
      <xdr:nvPicPr>
        <xdr:cNvPr id="44" name="Graphic 43" descr="Coins with solid fill">
          <a:extLst>
            <a:ext uri="{FF2B5EF4-FFF2-40B4-BE49-F238E27FC236}">
              <a16:creationId xmlns:a16="http://schemas.microsoft.com/office/drawing/2014/main" id="{206A7ED1-156C-4D86-9597-A7DB0C37AC7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477200" y="849217"/>
          <a:ext cx="688554" cy="50493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vind Sharma" refreshedDate="46284.575896296294" createdVersion="7" refreshedVersion="7" minRefreshableVersion="3" recordCount="500" xr:uid="{A8D8AE8A-AAD2-4448-A02F-F8764E782262}">
  <cacheSource type="worksheet">
    <worksheetSource name="Table1"/>
  </cacheSource>
  <cacheFields count="15">
    <cacheField name="Order ID" numFmtId="0">
      <sharedItems/>
    </cacheField>
    <cacheField name="Order Date" numFmtId="164">
      <sharedItems containsSemiMixedTypes="0" containsNonDate="0" containsDate="1" containsString="0" minDate="2025-01-02T00:00:00" maxDate="2026-01-01T00:00:00" count="262">
        <d v="2025-11-24T00:00:00"/>
        <d v="2025-10-07T00:00:00"/>
        <d v="2025-11-29T00:00:00"/>
        <d v="2025-04-21T00:00:00"/>
        <d v="2025-08-24T00:00:00"/>
        <d v="2025-01-24T00:00:00"/>
        <d v="2025-07-06T00:00:00"/>
        <d v="2025-05-06T00:00:00"/>
        <d v="2025-01-29T00:00:00"/>
        <d v="2025-09-13T00:00:00"/>
        <d v="2025-07-24T00:00:00"/>
        <d v="2025-03-23T00:00:00"/>
        <d v="2025-02-28T00:00:00"/>
        <d v="2025-05-15T00:00:00"/>
        <d v="2025-09-29T00:00:00"/>
        <d v="2025-10-18T00:00:00"/>
        <d v="2025-10-09T00:00:00"/>
        <d v="2025-12-10T00:00:00"/>
        <d v="2025-10-29T00:00:00"/>
        <d v="2025-01-17T00:00:00"/>
        <d v="2025-10-20T00:00:00"/>
        <d v="2025-07-30T00:00:00"/>
        <d v="2025-04-08T00:00:00"/>
        <d v="2025-04-20T00:00:00"/>
        <d v="2025-12-23T00:00:00"/>
        <d v="2025-10-27T00:00:00"/>
        <d v="2025-05-01T00:00:00"/>
        <d v="2025-10-26T00:00:00"/>
        <d v="2025-09-17T00:00:00"/>
        <d v="2025-10-06T00:00:00"/>
        <d v="2025-10-11T00:00:00"/>
        <d v="2025-05-09T00:00:00"/>
        <d v="2025-11-23T00:00:00"/>
        <d v="2025-12-20T00:00:00"/>
        <d v="2025-01-21T00:00:00"/>
        <d v="2025-03-21T00:00:00"/>
        <d v="2025-05-08T00:00:00"/>
        <d v="2025-02-05T00:00:00"/>
        <d v="2025-05-16T00:00:00"/>
        <d v="2025-09-19T00:00:00"/>
        <d v="2025-10-03T00:00:00"/>
        <d v="2025-06-03T00:00:00"/>
        <d v="2025-07-14T00:00:00"/>
        <d v="2025-11-07T00:00:00"/>
        <d v="2025-05-26T00:00:00"/>
        <d v="2025-05-05T00:00:00"/>
        <d v="2025-03-04T00:00:00"/>
        <d v="2025-09-01T00:00:00"/>
        <d v="2025-02-09T00:00:00"/>
        <d v="2025-07-16T00:00:00"/>
        <d v="2025-08-04T00:00:00"/>
        <d v="2025-08-03T00:00:00"/>
        <d v="2025-12-14T00:00:00"/>
        <d v="2025-12-06T00:00:00"/>
        <d v="2025-06-17T00:00:00"/>
        <d v="2025-08-29T00:00:00"/>
        <d v="2025-04-13T00:00:00"/>
        <d v="2025-05-12T00:00:00"/>
        <d v="2025-10-22T00:00:00"/>
        <d v="2025-06-04T00:00:00"/>
        <d v="2025-09-25T00:00:00"/>
        <d v="2025-02-14T00:00:00"/>
        <d v="2025-06-16T00:00:00"/>
        <d v="2025-09-22T00:00:00"/>
        <d v="2025-09-09T00:00:00"/>
        <d v="2025-07-08T00:00:00"/>
        <d v="2025-04-29T00:00:00"/>
        <d v="2025-09-05T00:00:00"/>
        <d v="2025-12-29T00:00:00"/>
        <d v="2025-01-07T00:00:00"/>
        <d v="2025-09-02T00:00:00"/>
        <d v="2025-10-16T00:00:00"/>
        <d v="2025-08-15T00:00:00"/>
        <d v="2025-12-19T00:00:00"/>
        <d v="2025-04-30T00:00:00"/>
        <d v="2025-02-06T00:00:00"/>
        <d v="2025-05-20T00:00:00"/>
        <d v="2025-04-28T00:00:00"/>
        <d v="2025-03-24T00:00:00"/>
        <d v="2025-06-11T00:00:00"/>
        <d v="2025-09-23T00:00:00"/>
        <d v="2025-08-13T00:00:00"/>
        <d v="2025-10-10T00:00:00"/>
        <d v="2025-05-30T00:00:00"/>
        <d v="2025-11-03T00:00:00"/>
        <d v="2025-06-02T00:00:00"/>
        <d v="2025-04-07T00:00:00"/>
        <d v="2025-08-14T00:00:00"/>
        <d v="2025-09-07T00:00:00"/>
        <d v="2025-02-20T00:00:00"/>
        <d v="2025-05-31T00:00:00"/>
        <d v="2025-02-10T00:00:00"/>
        <d v="2025-01-05T00:00:00"/>
        <d v="2025-08-06T00:00:00"/>
        <d v="2025-07-03T00:00:00"/>
        <d v="2025-09-12T00:00:00"/>
        <d v="2025-12-04T00:00:00"/>
        <d v="2025-02-16T00:00:00"/>
        <d v="2025-03-14T00:00:00"/>
        <d v="2025-08-21T00:00:00"/>
        <d v="2025-10-15T00:00:00"/>
        <d v="2025-07-09T00:00:00"/>
        <d v="2025-05-22T00:00:00"/>
        <d v="2025-03-17T00:00:00"/>
        <d v="2025-01-14T00:00:00"/>
        <d v="2025-03-06T00:00:00"/>
        <d v="2025-04-24T00:00:00"/>
        <d v="2025-11-21T00:00:00"/>
        <d v="2025-02-18T00:00:00"/>
        <d v="2025-02-13T00:00:00"/>
        <d v="2025-06-30T00:00:00"/>
        <d v="2025-06-09T00:00:00"/>
        <d v="2025-12-05T00:00:00"/>
        <d v="2025-02-26T00:00:00"/>
        <d v="2025-03-31T00:00:00"/>
        <d v="2025-01-22T00:00:00"/>
        <d v="2025-08-02T00:00:00"/>
        <d v="2025-02-24T00:00:00"/>
        <d v="2025-03-28T00:00:00"/>
        <d v="2025-06-05T00:00:00"/>
        <d v="2025-05-27T00:00:00"/>
        <d v="2025-06-25T00:00:00"/>
        <d v="2025-05-25T00:00:00"/>
        <d v="2025-10-13T00:00:00"/>
        <d v="2025-12-02T00:00:00"/>
        <d v="2025-06-24T00:00:00"/>
        <d v="2025-10-04T00:00:00"/>
        <d v="2025-12-21T00:00:00"/>
        <d v="2025-08-18T00:00:00"/>
        <d v="2025-07-15T00:00:00"/>
        <d v="2025-02-11T00:00:00"/>
        <d v="2025-05-10T00:00:00"/>
        <d v="2025-08-23T00:00:00"/>
        <d v="2025-06-19T00:00:00"/>
        <d v="2025-04-06T00:00:00"/>
        <d v="2025-04-03T00:00:00"/>
        <d v="2025-08-07T00:00:00"/>
        <d v="2025-01-30T00:00:00"/>
        <d v="2025-12-16T00:00:00"/>
        <d v="2025-12-31T00:00:00"/>
        <d v="2025-09-03T00:00:00"/>
        <d v="2025-11-22T00:00:00"/>
        <d v="2025-11-16T00:00:00"/>
        <d v="2025-02-07T00:00:00"/>
        <d v="2025-06-10T00:00:00"/>
        <d v="2025-06-07T00:00:00"/>
        <d v="2025-01-25T00:00:00"/>
        <d v="2025-06-23T00:00:00"/>
        <d v="2025-06-20T00:00:00"/>
        <d v="2025-11-12T00:00:00"/>
        <d v="2025-12-25T00:00:00"/>
        <d v="2025-05-07T00:00:00"/>
        <d v="2025-06-28T00:00:00"/>
        <d v="2025-03-16T00:00:00"/>
        <d v="2025-03-12T00:00:00"/>
        <d v="2025-11-27T00:00:00"/>
        <d v="2025-04-01T00:00:00"/>
        <d v="2025-11-05T00:00:00"/>
        <d v="2025-08-28T00:00:00"/>
        <d v="2025-01-08T00:00:00"/>
        <d v="2025-12-27T00:00:00"/>
        <d v="2025-12-15T00:00:00"/>
        <d v="2025-09-16T00:00:00"/>
        <d v="2025-09-08T00:00:00"/>
        <d v="2025-10-14T00:00:00"/>
        <d v="2025-07-29T00:00:00"/>
        <d v="2025-01-12T00:00:00"/>
        <d v="2025-02-21T00:00:00"/>
        <d v="2025-03-15T00:00:00"/>
        <d v="2025-02-17T00:00:00"/>
        <d v="2025-10-28T00:00:00"/>
        <d v="2025-03-02T00:00:00"/>
        <d v="2025-10-01T00:00:00"/>
        <d v="2025-07-31T00:00:00"/>
        <d v="2025-11-13T00:00:00"/>
        <d v="2025-05-21T00:00:00"/>
        <d v="2025-11-14T00:00:00"/>
        <d v="2025-07-13T00:00:00"/>
        <d v="2025-02-08T00:00:00"/>
        <d v="2025-06-27T00:00:00"/>
        <d v="2025-05-19T00:00:00"/>
        <d v="2025-07-01T00:00:00"/>
        <d v="2025-12-22T00:00:00"/>
        <d v="2025-03-13T00:00:00"/>
        <d v="2025-12-03T00:00:00"/>
        <d v="2025-08-09T00:00:00"/>
        <d v="2025-08-26T00:00:00"/>
        <d v="2025-11-28T00:00:00"/>
        <d v="2025-08-25T00:00:00"/>
        <d v="2025-11-11T00:00:00"/>
        <d v="2025-03-01T00:00:00"/>
        <d v="2025-08-05T00:00:00"/>
        <d v="2025-10-17T00:00:00"/>
        <d v="2025-10-23T00:00:00"/>
        <d v="2025-05-23T00:00:00"/>
        <d v="2025-12-24T00:00:00"/>
        <d v="2025-03-09T00:00:00"/>
        <d v="2025-02-22T00:00:00"/>
        <d v="2025-05-03T00:00:00"/>
        <d v="2025-06-12T00:00:00"/>
        <d v="2025-11-18T00:00:00"/>
        <d v="2025-08-08T00:00:00"/>
        <d v="2025-01-02T00:00:00"/>
        <d v="2025-01-19T00:00:00"/>
        <d v="2025-08-27T00:00:00"/>
        <d v="2025-01-26T00:00:00"/>
        <d v="2025-01-18T00:00:00"/>
        <d v="2025-04-23T00:00:00"/>
        <d v="2025-03-30T00:00:00"/>
        <d v="2025-03-22T00:00:00"/>
        <d v="2025-04-18T00:00:00"/>
        <d v="2025-02-23T00:00:00"/>
        <d v="2025-04-16T00:00:00"/>
        <d v="2025-11-17T00:00:00"/>
        <d v="2025-05-18T00:00:00"/>
        <d v="2025-04-09T00:00:00"/>
        <d v="2025-05-13T00:00:00"/>
        <d v="2025-12-17T00:00:00"/>
        <d v="2025-11-06T00:00:00"/>
        <d v="2025-09-21T00:00:00"/>
        <d v="2025-08-31T00:00:00"/>
        <d v="2025-09-20T00:00:00"/>
        <d v="2025-06-06T00:00:00"/>
        <d v="2025-09-24T00:00:00"/>
        <d v="2025-09-04T00:00:00"/>
        <d v="2025-05-04T00:00:00"/>
        <d v="2025-03-07T00:00:00"/>
        <d v="2025-03-19T00:00:00"/>
        <d v="2025-06-26T00:00:00"/>
        <d v="2025-06-01T00:00:00"/>
        <d v="2025-11-26T00:00:00"/>
        <d v="2025-05-29T00:00:00"/>
        <d v="2025-03-29T00:00:00"/>
        <d v="2025-07-25T00:00:00"/>
        <d v="2025-01-28T00:00:00"/>
        <d v="2025-03-26T00:00:00"/>
        <d v="2025-07-21T00:00:00"/>
        <d v="2025-12-11T00:00:00"/>
        <d v="2025-11-08T00:00:00"/>
        <d v="2025-04-10T00:00:00"/>
        <d v="2025-10-02T00:00:00"/>
        <d v="2025-04-22T00:00:00"/>
        <d v="2025-07-11T00:00:00"/>
        <d v="2025-03-27T00:00:00"/>
        <d v="2025-12-26T00:00:00"/>
        <d v="2025-11-19T00:00:00"/>
        <d v="2025-10-12T00:00:00"/>
        <d v="2025-10-25T00:00:00"/>
        <d v="2025-07-04T00:00:00"/>
        <d v="2025-03-18T00:00:00"/>
        <d v="2025-04-02T00:00:00"/>
        <d v="2025-07-07T00:00:00"/>
        <d v="2025-07-27T00:00:00"/>
        <d v="2025-03-08T00:00:00"/>
        <d v="2025-02-12T00:00:00"/>
        <d v="2025-07-12T00:00:00"/>
        <d v="2025-08-17T00:00:00"/>
        <d v="2025-07-26T00:00:00"/>
        <d v="2025-04-14T00:00:00"/>
        <d v="2025-10-05T00:00:00"/>
        <d v="2025-05-02T00:00:00"/>
        <d v="2025-04-05T00:00:00"/>
      </sharedItems>
      <fieldGroup par="14" base="1">
        <rangePr groupBy="days" startDate="2025-01-02T00:00:00" endDate="2026-01-0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Region" numFmtId="0">
      <sharedItems count="4">
        <s v="North"/>
        <s v="East"/>
        <s v="South"/>
        <s v="West"/>
      </sharedItems>
    </cacheField>
    <cacheField name="State" numFmtId="0">
      <sharedItems/>
    </cacheField>
    <cacheField name="Category" numFmtId="0">
      <sharedItems count="3">
        <s v="Office Supplies"/>
        <s v="Technology"/>
        <s v="Furniture"/>
      </sharedItems>
    </cacheField>
    <cacheField name="Sub-Category" numFmtId="0">
      <sharedItems/>
    </cacheField>
    <cacheField name="Product" numFmtId="0">
      <sharedItems count="20">
        <s v="Inkjet Printer"/>
        <s v="HP Laptop"/>
        <s v="Study Table"/>
        <s v="Samsung Mobile"/>
        <s v="Keyboard"/>
        <s v="Visitor Chair"/>
        <s v="Conference Table"/>
        <s v="Office Table"/>
        <s v="OnePlus Mobile"/>
        <s v="Office Chair"/>
        <s v="Lenovo Laptop"/>
        <s v="Pen Set"/>
        <s v="Notebook Pack"/>
        <s v="Executive Chair"/>
        <s v="Wireless Mouse"/>
        <s v="File Folder"/>
        <s v="Headset"/>
        <s v="Laser Printer"/>
        <s v="Dell Laptop"/>
        <s v="Vivo Mobile"/>
      </sharedItems>
    </cacheField>
    <cacheField name="Salesperson" numFmtId="0">
      <sharedItems count="6">
        <s v="Neha"/>
        <s v="Rahul"/>
        <s v="Pooja"/>
        <s v="Priya"/>
        <s v="Amit"/>
        <s v="Vikas"/>
      </sharedItems>
    </cacheField>
    <cacheField name="Quantity" numFmtId="0">
      <sharedItems containsSemiMixedTypes="0" containsString="0" containsNumber="1" containsInteger="1" minValue="1" maxValue="8"/>
    </cacheField>
    <cacheField name="Unit Price" numFmtId="4">
      <sharedItems containsSemiMixedTypes="0" containsString="0" containsNumber="1" containsInteger="1" minValue="180" maxValue="58000"/>
    </cacheField>
    <cacheField name="Discount" numFmtId="4">
      <sharedItems containsSemiMixedTypes="0" containsString="0" containsNumber="1" minValue="0" maxValue="0.15"/>
    </cacheField>
    <cacheField name="Sales" numFmtId="4">
      <sharedItems containsSemiMixedTypes="0" containsString="0" containsNumber="1" minValue="153" maxValue="464000"/>
    </cacheField>
    <cacheField name="Cost" numFmtId="4">
      <sharedItems containsSemiMixedTypes="0" containsString="0" containsNumber="1" minValue="121.18" maxValue="357216.08"/>
    </cacheField>
    <cacheField name="Profit" numFmtId="4">
      <sharedItems containsSemiMixedTypes="0" containsString="0" containsNumber="1" minValue="31.82" maxValue="151934.29"/>
    </cacheField>
    <cacheField name="Months" numFmtId="0" databaseField="0">
      <fieldGroup base="1">
        <rangePr groupBy="months" startDate="2025-01-02T00:00:00" endDate="2026-01-01T00:00:00"/>
        <groupItems count="14">
          <s v="&lt;02-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786660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x v="0"/>
    <x v="0"/>
    <s v="Haryana"/>
    <x v="0"/>
    <s v="Printers"/>
    <x v="0"/>
    <x v="0"/>
    <n v="3"/>
    <n v="8500"/>
    <n v="0"/>
    <n v="25500"/>
    <n v="19606.28"/>
    <n v="5893.72"/>
  </r>
  <r>
    <s v="ORD-0002"/>
    <x v="1"/>
    <x v="0"/>
    <s v="Uttar Pradesh"/>
    <x v="1"/>
    <s v="Laptops"/>
    <x v="1"/>
    <x v="0"/>
    <n v="4"/>
    <n v="52000"/>
    <n v="0"/>
    <n v="208000"/>
    <n v="154642.57"/>
    <n v="53357.43"/>
  </r>
  <r>
    <s v="ORD-0003"/>
    <x v="2"/>
    <x v="1"/>
    <s v="Bihar"/>
    <x v="2"/>
    <s v="Tables"/>
    <x v="2"/>
    <x v="0"/>
    <n v="7"/>
    <n v="7000"/>
    <n v="0.1"/>
    <n v="44100"/>
    <n v="30037.91"/>
    <n v="14062.09"/>
  </r>
  <r>
    <s v="ORD-0004"/>
    <x v="3"/>
    <x v="2"/>
    <s v="Karnataka"/>
    <x v="1"/>
    <s v="Mobiles"/>
    <x v="3"/>
    <x v="1"/>
    <n v="6"/>
    <n v="26000"/>
    <n v="0.1"/>
    <n v="140400"/>
    <n v="111978.58"/>
    <n v="28421.42"/>
  </r>
  <r>
    <s v="ORD-0005"/>
    <x v="4"/>
    <x v="0"/>
    <s v="Uttar Pradesh"/>
    <x v="1"/>
    <s v="Accessories"/>
    <x v="4"/>
    <x v="2"/>
    <n v="6"/>
    <n v="1800"/>
    <n v="0.05"/>
    <n v="10260"/>
    <n v="7951.56"/>
    <n v="2308.44"/>
  </r>
  <r>
    <s v="ORD-0006"/>
    <x v="5"/>
    <x v="3"/>
    <s v="Maharashtra"/>
    <x v="1"/>
    <s v="Laptops"/>
    <x v="1"/>
    <x v="3"/>
    <n v="5"/>
    <n v="52000"/>
    <n v="0.15"/>
    <n v="221000"/>
    <n v="167926.98"/>
    <n v="53073.02"/>
  </r>
  <r>
    <s v="ORD-0007"/>
    <x v="6"/>
    <x v="3"/>
    <s v="Maharashtra"/>
    <x v="2"/>
    <s v="Chairs"/>
    <x v="5"/>
    <x v="1"/>
    <n v="2"/>
    <n v="4200"/>
    <n v="0.05"/>
    <n v="7980"/>
    <n v="5885.34"/>
    <n v="2094.66"/>
  </r>
  <r>
    <s v="ORD-0008"/>
    <x v="7"/>
    <x v="3"/>
    <s v="Goa"/>
    <x v="2"/>
    <s v="Tables"/>
    <x v="6"/>
    <x v="2"/>
    <n v="4"/>
    <n v="25000"/>
    <n v="0.1"/>
    <n v="90000"/>
    <n v="72488.47"/>
    <n v="17511.53"/>
  </r>
  <r>
    <s v="ORD-0009"/>
    <x v="8"/>
    <x v="3"/>
    <s v="Rajasthan"/>
    <x v="2"/>
    <s v="Tables"/>
    <x v="7"/>
    <x v="4"/>
    <n v="4"/>
    <n v="12000"/>
    <n v="0.1"/>
    <n v="43200"/>
    <n v="28804.799999999999"/>
    <n v="14395.2"/>
  </r>
  <r>
    <s v="ORD-0010"/>
    <x v="9"/>
    <x v="1"/>
    <s v="Jharkhand"/>
    <x v="1"/>
    <s v="Mobiles"/>
    <x v="3"/>
    <x v="0"/>
    <n v="5"/>
    <n v="26000"/>
    <n v="0.15"/>
    <n v="110500"/>
    <n v="90336.07"/>
    <n v="20163.93"/>
  </r>
  <r>
    <s v="ORD-0011"/>
    <x v="10"/>
    <x v="2"/>
    <s v="Tamil Nadu"/>
    <x v="1"/>
    <s v="Accessories"/>
    <x v="4"/>
    <x v="4"/>
    <n v="1"/>
    <n v="1800"/>
    <n v="0"/>
    <n v="1800"/>
    <n v="1176.53"/>
    <n v="623.47"/>
  </r>
  <r>
    <s v="ORD-0012"/>
    <x v="11"/>
    <x v="1"/>
    <s v="West Bengal"/>
    <x v="2"/>
    <s v="Tables"/>
    <x v="6"/>
    <x v="3"/>
    <n v="5"/>
    <n v="25000"/>
    <n v="0"/>
    <n v="125000"/>
    <n v="96207.79"/>
    <n v="28792.21"/>
  </r>
  <r>
    <s v="ORD-0013"/>
    <x v="12"/>
    <x v="2"/>
    <s v="Telangana"/>
    <x v="1"/>
    <s v="Mobiles"/>
    <x v="8"/>
    <x v="0"/>
    <n v="8"/>
    <n v="31000"/>
    <n v="0"/>
    <n v="248000"/>
    <n v="205800.2"/>
    <n v="42199.8"/>
  </r>
  <r>
    <s v="ORD-0014"/>
    <x v="13"/>
    <x v="3"/>
    <s v="Rajasthan"/>
    <x v="0"/>
    <s v="Printers"/>
    <x v="0"/>
    <x v="0"/>
    <n v="6"/>
    <n v="8500"/>
    <n v="0.05"/>
    <n v="48450"/>
    <n v="35788.239999999998"/>
    <n v="12661.76"/>
  </r>
  <r>
    <s v="ORD-0015"/>
    <x v="14"/>
    <x v="0"/>
    <s v="Punjab"/>
    <x v="2"/>
    <s v="Chairs"/>
    <x v="9"/>
    <x v="1"/>
    <n v="5"/>
    <n v="6500"/>
    <n v="0.05"/>
    <n v="30875"/>
    <n v="19535.96"/>
    <n v="11339.04"/>
  </r>
  <r>
    <s v="ORD-0016"/>
    <x v="15"/>
    <x v="0"/>
    <s v="Haryana"/>
    <x v="0"/>
    <s v="Printers"/>
    <x v="0"/>
    <x v="5"/>
    <n v="3"/>
    <n v="8500"/>
    <n v="0.05"/>
    <n v="24225"/>
    <n v="18535.64"/>
    <n v="5689.36"/>
  </r>
  <r>
    <s v="ORD-0017"/>
    <x v="16"/>
    <x v="3"/>
    <s v="Maharashtra"/>
    <x v="0"/>
    <s v="Printers"/>
    <x v="0"/>
    <x v="5"/>
    <n v="4"/>
    <n v="8500"/>
    <n v="0.1"/>
    <n v="30600"/>
    <n v="21658.02"/>
    <n v="8941.98"/>
  </r>
  <r>
    <s v="ORD-0018"/>
    <x v="17"/>
    <x v="2"/>
    <s v="Kerala"/>
    <x v="0"/>
    <s v="Printers"/>
    <x v="0"/>
    <x v="0"/>
    <n v="4"/>
    <n v="8500"/>
    <n v="0"/>
    <n v="34000"/>
    <n v="23608.880000000001"/>
    <n v="10391.120000000001"/>
  </r>
  <r>
    <s v="ORD-0019"/>
    <x v="18"/>
    <x v="3"/>
    <s v="Gujarat"/>
    <x v="1"/>
    <s v="Laptops"/>
    <x v="10"/>
    <x v="2"/>
    <n v="1"/>
    <n v="49000"/>
    <n v="0.05"/>
    <n v="46550"/>
    <n v="29551.25"/>
    <n v="16998.75"/>
  </r>
  <r>
    <s v="ORD-0020"/>
    <x v="19"/>
    <x v="2"/>
    <s v="Karnataka"/>
    <x v="0"/>
    <s v="Stationery"/>
    <x v="11"/>
    <x v="2"/>
    <n v="8"/>
    <n v="250"/>
    <n v="0.05"/>
    <n v="1900"/>
    <n v="1403.4"/>
    <n v="496.6"/>
  </r>
  <r>
    <s v="ORD-0021"/>
    <x v="20"/>
    <x v="1"/>
    <s v="Bihar"/>
    <x v="2"/>
    <s v="Tables"/>
    <x v="2"/>
    <x v="4"/>
    <n v="2"/>
    <n v="7000"/>
    <n v="0.15"/>
    <n v="11900"/>
    <n v="8305.5499999999993"/>
    <n v="3594.45"/>
  </r>
  <r>
    <s v="ORD-0022"/>
    <x v="21"/>
    <x v="1"/>
    <s v="West Bengal"/>
    <x v="0"/>
    <s v="Stationery"/>
    <x v="12"/>
    <x v="3"/>
    <n v="6"/>
    <n v="450"/>
    <n v="0"/>
    <n v="2700"/>
    <n v="1821.7"/>
    <n v="878.3"/>
  </r>
  <r>
    <s v="ORD-0023"/>
    <x v="22"/>
    <x v="1"/>
    <s v="Bihar"/>
    <x v="2"/>
    <s v="Chairs"/>
    <x v="13"/>
    <x v="3"/>
    <n v="4"/>
    <n v="10500"/>
    <n v="0"/>
    <n v="42000"/>
    <n v="30134.53"/>
    <n v="11865.47"/>
  </r>
  <r>
    <s v="ORD-0024"/>
    <x v="16"/>
    <x v="0"/>
    <s v="Haryana"/>
    <x v="0"/>
    <s v="Stationery"/>
    <x v="12"/>
    <x v="0"/>
    <n v="3"/>
    <n v="450"/>
    <n v="0.15"/>
    <n v="1147.5"/>
    <n v="834.05"/>
    <n v="313.45"/>
  </r>
  <r>
    <s v="ORD-0025"/>
    <x v="23"/>
    <x v="1"/>
    <s v="West Bengal"/>
    <x v="1"/>
    <s v="Mobiles"/>
    <x v="3"/>
    <x v="3"/>
    <n v="5"/>
    <n v="26000"/>
    <n v="0.15"/>
    <n v="110500"/>
    <n v="75444.41"/>
    <n v="35055.589999999997"/>
  </r>
  <r>
    <s v="ORD-0026"/>
    <x v="24"/>
    <x v="1"/>
    <s v="Bihar"/>
    <x v="1"/>
    <s v="Mobiles"/>
    <x v="3"/>
    <x v="4"/>
    <n v="1"/>
    <n v="26000"/>
    <n v="0.1"/>
    <n v="23400"/>
    <n v="14802.29"/>
    <n v="8597.7099999999991"/>
  </r>
  <r>
    <s v="ORD-0027"/>
    <x v="25"/>
    <x v="1"/>
    <s v="Bihar"/>
    <x v="1"/>
    <s v="Accessories"/>
    <x v="14"/>
    <x v="0"/>
    <n v="2"/>
    <n v="1200"/>
    <n v="0"/>
    <n v="2400"/>
    <n v="1844.51"/>
    <n v="555.49"/>
  </r>
  <r>
    <s v="ORD-0028"/>
    <x v="26"/>
    <x v="1"/>
    <s v="West Bengal"/>
    <x v="0"/>
    <s v="Stationery"/>
    <x v="15"/>
    <x v="5"/>
    <n v="1"/>
    <n v="180"/>
    <n v="0"/>
    <n v="180"/>
    <n v="128.19999999999999"/>
    <n v="51.8"/>
  </r>
  <r>
    <s v="ORD-0029"/>
    <x v="27"/>
    <x v="2"/>
    <s v="Telangana"/>
    <x v="1"/>
    <s v="Accessories"/>
    <x v="16"/>
    <x v="1"/>
    <n v="4"/>
    <n v="2500"/>
    <n v="0.1"/>
    <n v="9000"/>
    <n v="6363.66"/>
    <n v="2636.34"/>
  </r>
  <r>
    <s v="ORD-0030"/>
    <x v="17"/>
    <x v="2"/>
    <s v="Kerala"/>
    <x v="2"/>
    <s v="Chairs"/>
    <x v="9"/>
    <x v="3"/>
    <n v="2"/>
    <n v="6500"/>
    <n v="0"/>
    <n v="13000"/>
    <n v="9597.6299999999992"/>
    <n v="3402.37"/>
  </r>
  <r>
    <s v="ORD-0031"/>
    <x v="28"/>
    <x v="2"/>
    <s v="Tamil Nadu"/>
    <x v="2"/>
    <s v="Chairs"/>
    <x v="9"/>
    <x v="1"/>
    <n v="5"/>
    <n v="6500"/>
    <n v="0.05"/>
    <n v="30875"/>
    <n v="22118.87"/>
    <n v="8756.1299999999992"/>
  </r>
  <r>
    <s v="ORD-0032"/>
    <x v="29"/>
    <x v="2"/>
    <s v="Karnataka"/>
    <x v="0"/>
    <s v="Printers"/>
    <x v="0"/>
    <x v="0"/>
    <n v="5"/>
    <n v="8500"/>
    <n v="0"/>
    <n v="42500"/>
    <n v="34668.81"/>
    <n v="7831.19"/>
  </r>
  <r>
    <s v="ORD-0033"/>
    <x v="30"/>
    <x v="3"/>
    <s v="Maharashtra"/>
    <x v="2"/>
    <s v="Chairs"/>
    <x v="5"/>
    <x v="1"/>
    <n v="4"/>
    <n v="4200"/>
    <n v="0.1"/>
    <n v="15120"/>
    <n v="11055.59"/>
    <n v="4064.41"/>
  </r>
  <r>
    <s v="ORD-0034"/>
    <x v="31"/>
    <x v="0"/>
    <s v="Haryana"/>
    <x v="0"/>
    <s v="Printers"/>
    <x v="17"/>
    <x v="4"/>
    <n v="1"/>
    <n v="14500"/>
    <n v="0.1"/>
    <n v="13050"/>
    <n v="10304.879999999999"/>
    <n v="2745.12"/>
  </r>
  <r>
    <s v="ORD-0035"/>
    <x v="32"/>
    <x v="2"/>
    <s v="Tamil Nadu"/>
    <x v="0"/>
    <s v="Printers"/>
    <x v="17"/>
    <x v="5"/>
    <n v="1"/>
    <n v="14500"/>
    <n v="0"/>
    <n v="14500"/>
    <n v="9230.0300000000007"/>
    <n v="5269.97"/>
  </r>
  <r>
    <s v="ORD-0036"/>
    <x v="33"/>
    <x v="3"/>
    <s v="Rajasthan"/>
    <x v="2"/>
    <s v="Chairs"/>
    <x v="13"/>
    <x v="0"/>
    <n v="1"/>
    <n v="10500"/>
    <n v="0.1"/>
    <n v="9450"/>
    <n v="6617.11"/>
    <n v="2832.89"/>
  </r>
  <r>
    <s v="ORD-0037"/>
    <x v="34"/>
    <x v="2"/>
    <s v="Tamil Nadu"/>
    <x v="0"/>
    <s v="Stationery"/>
    <x v="15"/>
    <x v="4"/>
    <n v="6"/>
    <n v="180"/>
    <n v="0.15"/>
    <n v="918"/>
    <n v="765.84"/>
    <n v="152.16"/>
  </r>
  <r>
    <s v="ORD-0038"/>
    <x v="35"/>
    <x v="3"/>
    <s v="Gujarat"/>
    <x v="1"/>
    <s v="Mobiles"/>
    <x v="3"/>
    <x v="0"/>
    <n v="6"/>
    <n v="26000"/>
    <n v="0.15"/>
    <n v="132600"/>
    <n v="105614.8"/>
    <n v="26985.200000000001"/>
  </r>
  <r>
    <s v="ORD-0039"/>
    <x v="36"/>
    <x v="2"/>
    <s v="Tamil Nadu"/>
    <x v="0"/>
    <s v="Stationery"/>
    <x v="11"/>
    <x v="4"/>
    <n v="8"/>
    <n v="250"/>
    <n v="0.05"/>
    <n v="1900"/>
    <n v="1261.42"/>
    <n v="638.58000000000004"/>
  </r>
  <r>
    <s v="ORD-0040"/>
    <x v="4"/>
    <x v="2"/>
    <s v="Telangana"/>
    <x v="1"/>
    <s v="Laptops"/>
    <x v="1"/>
    <x v="2"/>
    <n v="4"/>
    <n v="52000"/>
    <n v="0.15"/>
    <n v="176800"/>
    <n v="122384.08"/>
    <n v="54415.92"/>
  </r>
  <r>
    <s v="ORD-0041"/>
    <x v="37"/>
    <x v="2"/>
    <s v="Telangana"/>
    <x v="0"/>
    <s v="Printers"/>
    <x v="17"/>
    <x v="4"/>
    <n v="2"/>
    <n v="14500"/>
    <n v="0.1"/>
    <n v="26100"/>
    <n v="17207.34"/>
    <n v="8892.66"/>
  </r>
  <r>
    <s v="ORD-0042"/>
    <x v="38"/>
    <x v="0"/>
    <s v="Haryana"/>
    <x v="0"/>
    <s v="Printers"/>
    <x v="17"/>
    <x v="2"/>
    <n v="6"/>
    <n v="14500"/>
    <n v="0.15"/>
    <n v="73950"/>
    <n v="55711.41"/>
    <n v="18238.59"/>
  </r>
  <r>
    <s v="ORD-0043"/>
    <x v="39"/>
    <x v="0"/>
    <s v="Uttar Pradesh"/>
    <x v="0"/>
    <s v="Stationery"/>
    <x v="11"/>
    <x v="4"/>
    <n v="7"/>
    <n v="250"/>
    <n v="0"/>
    <n v="1750"/>
    <n v="1285.17"/>
    <n v="464.83"/>
  </r>
  <r>
    <s v="ORD-0044"/>
    <x v="40"/>
    <x v="3"/>
    <s v="Maharashtra"/>
    <x v="2"/>
    <s v="Chairs"/>
    <x v="5"/>
    <x v="1"/>
    <n v="6"/>
    <n v="4200"/>
    <n v="0"/>
    <n v="25200"/>
    <n v="19614.32"/>
    <n v="5585.68"/>
  </r>
  <r>
    <s v="ORD-0045"/>
    <x v="41"/>
    <x v="2"/>
    <s v="Kerala"/>
    <x v="2"/>
    <s v="Tables"/>
    <x v="6"/>
    <x v="1"/>
    <n v="3"/>
    <n v="25000"/>
    <n v="0.05"/>
    <n v="71250"/>
    <n v="50765.5"/>
    <n v="20484.5"/>
  </r>
  <r>
    <s v="ORD-0046"/>
    <x v="42"/>
    <x v="3"/>
    <s v="Maharashtra"/>
    <x v="2"/>
    <s v="Chairs"/>
    <x v="13"/>
    <x v="1"/>
    <n v="4"/>
    <n v="10500"/>
    <n v="0.15"/>
    <n v="35700"/>
    <n v="28305.35"/>
    <n v="7394.65"/>
  </r>
  <r>
    <s v="ORD-0047"/>
    <x v="43"/>
    <x v="2"/>
    <s v="Kerala"/>
    <x v="2"/>
    <s v="Tables"/>
    <x v="6"/>
    <x v="0"/>
    <n v="8"/>
    <n v="25000"/>
    <n v="0.05"/>
    <n v="190000"/>
    <n v="145339.96"/>
    <n v="44660.04"/>
  </r>
  <r>
    <s v="ORD-0048"/>
    <x v="44"/>
    <x v="2"/>
    <s v="Karnataka"/>
    <x v="1"/>
    <s v="Accessories"/>
    <x v="4"/>
    <x v="0"/>
    <n v="4"/>
    <n v="1800"/>
    <n v="0.05"/>
    <n v="6840"/>
    <n v="4277.5600000000004"/>
    <n v="2562.44"/>
  </r>
  <r>
    <s v="ORD-0049"/>
    <x v="7"/>
    <x v="1"/>
    <s v="West Bengal"/>
    <x v="2"/>
    <s v="Tables"/>
    <x v="6"/>
    <x v="5"/>
    <n v="4"/>
    <n v="25000"/>
    <n v="0.15"/>
    <n v="85000"/>
    <n v="61944.85"/>
    <n v="23055.15"/>
  </r>
  <r>
    <s v="ORD-0050"/>
    <x v="45"/>
    <x v="3"/>
    <s v="Rajasthan"/>
    <x v="1"/>
    <s v="Mobiles"/>
    <x v="3"/>
    <x v="0"/>
    <n v="8"/>
    <n v="26000"/>
    <n v="0"/>
    <n v="208000"/>
    <n v="154466.89000000001"/>
    <n v="53533.11"/>
  </r>
  <r>
    <s v="ORD-0051"/>
    <x v="46"/>
    <x v="1"/>
    <s v="Bihar"/>
    <x v="2"/>
    <s v="Tables"/>
    <x v="7"/>
    <x v="5"/>
    <n v="7"/>
    <n v="12000"/>
    <n v="0.15"/>
    <n v="71400"/>
    <n v="58361.34"/>
    <n v="13038.66"/>
  </r>
  <r>
    <s v="ORD-0052"/>
    <x v="47"/>
    <x v="1"/>
    <s v="Odisha"/>
    <x v="1"/>
    <s v="Accessories"/>
    <x v="4"/>
    <x v="5"/>
    <n v="8"/>
    <n v="1800"/>
    <n v="0.05"/>
    <n v="13680"/>
    <n v="9308.0300000000007"/>
    <n v="4371.97"/>
  </r>
  <r>
    <s v="ORD-0053"/>
    <x v="48"/>
    <x v="2"/>
    <s v="Tamil Nadu"/>
    <x v="2"/>
    <s v="Tables"/>
    <x v="7"/>
    <x v="5"/>
    <n v="2"/>
    <n v="12000"/>
    <n v="0.05"/>
    <n v="22800"/>
    <n v="14892.57"/>
    <n v="7907.43"/>
  </r>
  <r>
    <s v="ORD-0054"/>
    <x v="49"/>
    <x v="3"/>
    <s v="Gujarat"/>
    <x v="1"/>
    <s v="Mobiles"/>
    <x v="8"/>
    <x v="1"/>
    <n v="8"/>
    <n v="31000"/>
    <n v="0.15"/>
    <n v="210800"/>
    <n v="133583.63"/>
    <n v="77216.37"/>
  </r>
  <r>
    <s v="ORD-0055"/>
    <x v="50"/>
    <x v="1"/>
    <s v="West Bengal"/>
    <x v="0"/>
    <s v="Printers"/>
    <x v="17"/>
    <x v="4"/>
    <n v="6"/>
    <n v="14500"/>
    <n v="0.1"/>
    <n v="78300"/>
    <n v="61525.36"/>
    <n v="16774.64"/>
  </r>
  <r>
    <s v="ORD-0056"/>
    <x v="51"/>
    <x v="3"/>
    <s v="Goa"/>
    <x v="1"/>
    <s v="Mobiles"/>
    <x v="8"/>
    <x v="3"/>
    <n v="1"/>
    <n v="31000"/>
    <n v="0.15"/>
    <n v="26350"/>
    <n v="18285.54"/>
    <n v="8064.46"/>
  </r>
  <r>
    <s v="ORD-0057"/>
    <x v="52"/>
    <x v="1"/>
    <s v="Bihar"/>
    <x v="2"/>
    <s v="Chairs"/>
    <x v="5"/>
    <x v="5"/>
    <n v="1"/>
    <n v="4200"/>
    <n v="0.15"/>
    <n v="3570"/>
    <n v="2678.27"/>
    <n v="891.73"/>
  </r>
  <r>
    <s v="ORD-0058"/>
    <x v="53"/>
    <x v="0"/>
    <s v="Haryana"/>
    <x v="0"/>
    <s v="Printers"/>
    <x v="0"/>
    <x v="3"/>
    <n v="3"/>
    <n v="8500"/>
    <n v="0"/>
    <n v="25500"/>
    <n v="17269.48"/>
    <n v="8230.52"/>
  </r>
  <r>
    <s v="ORD-0059"/>
    <x v="54"/>
    <x v="3"/>
    <s v="Goa"/>
    <x v="2"/>
    <s v="Tables"/>
    <x v="7"/>
    <x v="1"/>
    <n v="7"/>
    <n v="12000"/>
    <n v="0.1"/>
    <n v="75600"/>
    <n v="60758.239999999998"/>
    <n v="14841.76"/>
  </r>
  <r>
    <s v="ORD-0060"/>
    <x v="55"/>
    <x v="0"/>
    <s v="Haryana"/>
    <x v="2"/>
    <s v="Chairs"/>
    <x v="5"/>
    <x v="4"/>
    <n v="1"/>
    <n v="4200"/>
    <n v="0"/>
    <n v="4200"/>
    <n v="3481.44"/>
    <n v="718.56"/>
  </r>
  <r>
    <s v="ORD-0061"/>
    <x v="56"/>
    <x v="0"/>
    <s v="Delhi"/>
    <x v="1"/>
    <s v="Laptops"/>
    <x v="18"/>
    <x v="2"/>
    <n v="2"/>
    <n v="58000"/>
    <n v="0.05"/>
    <n v="110200"/>
    <n v="79598.28"/>
    <n v="30601.72"/>
  </r>
  <r>
    <s v="ORD-0062"/>
    <x v="57"/>
    <x v="2"/>
    <s v="Tamil Nadu"/>
    <x v="0"/>
    <s v="Stationery"/>
    <x v="12"/>
    <x v="1"/>
    <n v="2"/>
    <n v="450"/>
    <n v="0"/>
    <n v="900"/>
    <n v="741.92"/>
    <n v="158.08000000000001"/>
  </r>
  <r>
    <s v="ORD-0063"/>
    <x v="58"/>
    <x v="1"/>
    <s v="Jharkhand"/>
    <x v="0"/>
    <s v="Stationery"/>
    <x v="12"/>
    <x v="5"/>
    <n v="4"/>
    <n v="450"/>
    <n v="0"/>
    <n v="1800"/>
    <n v="1392.09"/>
    <n v="407.91"/>
  </r>
  <r>
    <s v="ORD-0064"/>
    <x v="59"/>
    <x v="0"/>
    <s v="Haryana"/>
    <x v="2"/>
    <s v="Tables"/>
    <x v="6"/>
    <x v="1"/>
    <n v="2"/>
    <n v="25000"/>
    <n v="0.1"/>
    <n v="45000"/>
    <n v="28025.26"/>
    <n v="16974.740000000002"/>
  </r>
  <r>
    <s v="ORD-0065"/>
    <x v="50"/>
    <x v="1"/>
    <s v="West Bengal"/>
    <x v="2"/>
    <s v="Tables"/>
    <x v="6"/>
    <x v="3"/>
    <n v="3"/>
    <n v="25000"/>
    <n v="0.15"/>
    <n v="63750"/>
    <n v="41995.32"/>
    <n v="21754.68"/>
  </r>
  <r>
    <s v="ORD-0066"/>
    <x v="60"/>
    <x v="2"/>
    <s v="Kerala"/>
    <x v="2"/>
    <s v="Tables"/>
    <x v="6"/>
    <x v="5"/>
    <n v="5"/>
    <n v="25000"/>
    <n v="0.1"/>
    <n v="112500"/>
    <n v="90829.9"/>
    <n v="21670.1"/>
  </r>
  <r>
    <s v="ORD-0067"/>
    <x v="61"/>
    <x v="2"/>
    <s v="Kerala"/>
    <x v="1"/>
    <s v="Mobiles"/>
    <x v="19"/>
    <x v="5"/>
    <n v="7"/>
    <n v="22000"/>
    <n v="0.1"/>
    <n v="138600"/>
    <n v="86807.12"/>
    <n v="51792.88"/>
  </r>
  <r>
    <s v="ORD-0068"/>
    <x v="62"/>
    <x v="3"/>
    <s v="Goa"/>
    <x v="1"/>
    <s v="Mobiles"/>
    <x v="8"/>
    <x v="1"/>
    <n v="5"/>
    <n v="31000"/>
    <n v="0.1"/>
    <n v="139500"/>
    <n v="103547.23"/>
    <n v="35952.769999999997"/>
  </r>
  <r>
    <s v="ORD-0069"/>
    <x v="63"/>
    <x v="3"/>
    <s v="Rajasthan"/>
    <x v="1"/>
    <s v="Accessories"/>
    <x v="4"/>
    <x v="3"/>
    <n v="4"/>
    <n v="1800"/>
    <n v="0.15"/>
    <n v="6120"/>
    <n v="4664.04"/>
    <n v="1455.96"/>
  </r>
  <r>
    <s v="ORD-0070"/>
    <x v="64"/>
    <x v="1"/>
    <s v="West Bengal"/>
    <x v="1"/>
    <s v="Mobiles"/>
    <x v="3"/>
    <x v="3"/>
    <n v="4"/>
    <n v="26000"/>
    <n v="0.1"/>
    <n v="93600"/>
    <n v="71704.259999999995"/>
    <n v="21895.74"/>
  </r>
  <r>
    <s v="ORD-0071"/>
    <x v="65"/>
    <x v="1"/>
    <s v="Odisha"/>
    <x v="2"/>
    <s v="Tables"/>
    <x v="7"/>
    <x v="2"/>
    <n v="8"/>
    <n v="12000"/>
    <n v="0.1"/>
    <n v="86400"/>
    <n v="59396.29"/>
    <n v="27003.71"/>
  </r>
  <r>
    <s v="ORD-0072"/>
    <x v="66"/>
    <x v="0"/>
    <s v="Delhi"/>
    <x v="2"/>
    <s v="Chairs"/>
    <x v="5"/>
    <x v="5"/>
    <n v="3"/>
    <n v="4200"/>
    <n v="0.05"/>
    <n v="11970"/>
    <n v="7991.23"/>
    <n v="3978.77"/>
  </r>
  <r>
    <s v="ORD-0073"/>
    <x v="67"/>
    <x v="2"/>
    <s v="Telangana"/>
    <x v="1"/>
    <s v="Laptops"/>
    <x v="18"/>
    <x v="0"/>
    <n v="6"/>
    <n v="58000"/>
    <n v="0.05"/>
    <n v="330600"/>
    <n v="226956.53"/>
    <n v="103643.47"/>
  </r>
  <r>
    <s v="ORD-0074"/>
    <x v="68"/>
    <x v="3"/>
    <s v="Maharashtra"/>
    <x v="1"/>
    <s v="Laptops"/>
    <x v="10"/>
    <x v="1"/>
    <n v="3"/>
    <n v="49000"/>
    <n v="0.15"/>
    <n v="124950"/>
    <n v="80289.03"/>
    <n v="44660.97"/>
  </r>
  <r>
    <s v="ORD-0075"/>
    <x v="69"/>
    <x v="2"/>
    <s v="Kerala"/>
    <x v="2"/>
    <s v="Tables"/>
    <x v="7"/>
    <x v="0"/>
    <n v="1"/>
    <n v="12000"/>
    <n v="0.1"/>
    <n v="10800"/>
    <n v="8931.9699999999993"/>
    <n v="1868.03"/>
  </r>
  <r>
    <s v="ORD-0076"/>
    <x v="70"/>
    <x v="0"/>
    <s v="Haryana"/>
    <x v="2"/>
    <s v="Tables"/>
    <x v="2"/>
    <x v="5"/>
    <n v="1"/>
    <n v="7000"/>
    <n v="0.05"/>
    <n v="6650"/>
    <n v="4341.28"/>
    <n v="2308.7199999999998"/>
  </r>
  <r>
    <s v="ORD-0077"/>
    <x v="71"/>
    <x v="2"/>
    <s v="Karnataka"/>
    <x v="1"/>
    <s v="Laptops"/>
    <x v="10"/>
    <x v="3"/>
    <n v="4"/>
    <n v="49000"/>
    <n v="0.15"/>
    <n v="166600"/>
    <n v="119804.26"/>
    <n v="46795.74"/>
  </r>
  <r>
    <s v="ORD-0078"/>
    <x v="72"/>
    <x v="2"/>
    <s v="Kerala"/>
    <x v="2"/>
    <s v="Chairs"/>
    <x v="5"/>
    <x v="2"/>
    <n v="2"/>
    <n v="4200"/>
    <n v="0.05"/>
    <n v="7980"/>
    <n v="6045.75"/>
    <n v="1934.25"/>
  </r>
  <r>
    <s v="ORD-0079"/>
    <x v="38"/>
    <x v="0"/>
    <s v="Delhi"/>
    <x v="1"/>
    <s v="Laptops"/>
    <x v="10"/>
    <x v="4"/>
    <n v="3"/>
    <n v="49000"/>
    <n v="0"/>
    <n v="147000"/>
    <n v="104351.46"/>
    <n v="42648.54"/>
  </r>
  <r>
    <s v="ORD-0080"/>
    <x v="73"/>
    <x v="1"/>
    <s v="Odisha"/>
    <x v="1"/>
    <s v="Laptops"/>
    <x v="18"/>
    <x v="2"/>
    <n v="5"/>
    <n v="58000"/>
    <n v="0.15"/>
    <n v="246500"/>
    <n v="156690.07999999999"/>
    <n v="89809.919999999998"/>
  </r>
  <r>
    <s v="ORD-0081"/>
    <x v="74"/>
    <x v="2"/>
    <s v="Tamil Nadu"/>
    <x v="2"/>
    <s v="Chairs"/>
    <x v="5"/>
    <x v="0"/>
    <n v="3"/>
    <n v="4200"/>
    <n v="0.1"/>
    <n v="11340"/>
    <n v="9093.08"/>
    <n v="2246.92"/>
  </r>
  <r>
    <s v="ORD-0082"/>
    <x v="75"/>
    <x v="0"/>
    <s v="Delhi"/>
    <x v="2"/>
    <s v="Tables"/>
    <x v="7"/>
    <x v="4"/>
    <n v="8"/>
    <n v="12000"/>
    <n v="0.1"/>
    <n v="86400"/>
    <n v="66868.539999999994"/>
    <n v="19531.46"/>
  </r>
  <r>
    <s v="ORD-0083"/>
    <x v="76"/>
    <x v="1"/>
    <s v="Jharkhand"/>
    <x v="1"/>
    <s v="Accessories"/>
    <x v="14"/>
    <x v="3"/>
    <n v="6"/>
    <n v="1200"/>
    <n v="0.1"/>
    <n v="6480"/>
    <n v="4054.47"/>
    <n v="2425.5300000000002"/>
  </r>
  <r>
    <s v="ORD-0084"/>
    <x v="77"/>
    <x v="0"/>
    <s v="Punjab"/>
    <x v="0"/>
    <s v="Stationery"/>
    <x v="12"/>
    <x v="3"/>
    <n v="8"/>
    <n v="450"/>
    <n v="0.1"/>
    <n v="3240"/>
    <n v="2138.17"/>
    <n v="1101.83"/>
  </r>
  <r>
    <s v="ORD-0085"/>
    <x v="25"/>
    <x v="1"/>
    <s v="Jharkhand"/>
    <x v="1"/>
    <s v="Mobiles"/>
    <x v="8"/>
    <x v="3"/>
    <n v="6"/>
    <n v="31000"/>
    <n v="0.1"/>
    <n v="167400"/>
    <n v="128467.68"/>
    <n v="38932.32"/>
  </r>
  <r>
    <s v="ORD-0086"/>
    <x v="78"/>
    <x v="2"/>
    <s v="Kerala"/>
    <x v="0"/>
    <s v="Printers"/>
    <x v="17"/>
    <x v="2"/>
    <n v="7"/>
    <n v="14500"/>
    <n v="0"/>
    <n v="101500"/>
    <n v="73086.259999999995"/>
    <n v="28413.74"/>
  </r>
  <r>
    <s v="ORD-0087"/>
    <x v="79"/>
    <x v="2"/>
    <s v="Telangana"/>
    <x v="1"/>
    <s v="Mobiles"/>
    <x v="19"/>
    <x v="4"/>
    <n v="8"/>
    <n v="22000"/>
    <n v="0.15"/>
    <n v="149600"/>
    <n v="94535.96"/>
    <n v="55064.04"/>
  </r>
  <r>
    <s v="ORD-0088"/>
    <x v="80"/>
    <x v="2"/>
    <s v="Kerala"/>
    <x v="0"/>
    <s v="Printers"/>
    <x v="0"/>
    <x v="0"/>
    <n v="5"/>
    <n v="8500"/>
    <n v="0.05"/>
    <n v="40375"/>
    <n v="33272.550000000003"/>
    <n v="7102.45"/>
  </r>
  <r>
    <s v="ORD-0089"/>
    <x v="81"/>
    <x v="1"/>
    <s v="West Bengal"/>
    <x v="1"/>
    <s v="Accessories"/>
    <x v="16"/>
    <x v="0"/>
    <n v="3"/>
    <n v="2500"/>
    <n v="0.1"/>
    <n v="6750"/>
    <n v="5003"/>
    <n v="1747"/>
  </r>
  <r>
    <s v="ORD-0090"/>
    <x v="82"/>
    <x v="1"/>
    <s v="West Bengal"/>
    <x v="1"/>
    <s v="Laptops"/>
    <x v="18"/>
    <x v="4"/>
    <n v="3"/>
    <n v="58000"/>
    <n v="0.15"/>
    <n v="147900"/>
    <n v="122044.67"/>
    <n v="25855.33"/>
  </r>
  <r>
    <s v="ORD-0091"/>
    <x v="83"/>
    <x v="2"/>
    <s v="Kerala"/>
    <x v="2"/>
    <s v="Tables"/>
    <x v="2"/>
    <x v="3"/>
    <n v="3"/>
    <n v="7000"/>
    <n v="0.15"/>
    <n v="17850"/>
    <n v="11815.53"/>
    <n v="6034.47"/>
  </r>
  <r>
    <s v="ORD-0092"/>
    <x v="84"/>
    <x v="3"/>
    <s v="Rajasthan"/>
    <x v="2"/>
    <s v="Tables"/>
    <x v="7"/>
    <x v="5"/>
    <n v="5"/>
    <n v="12000"/>
    <n v="0"/>
    <n v="60000"/>
    <n v="40933.47"/>
    <n v="19066.53"/>
  </r>
  <r>
    <s v="ORD-0093"/>
    <x v="85"/>
    <x v="1"/>
    <s v="Bihar"/>
    <x v="2"/>
    <s v="Tables"/>
    <x v="7"/>
    <x v="1"/>
    <n v="7"/>
    <n v="12000"/>
    <n v="0.15"/>
    <n v="71400"/>
    <n v="58921.24"/>
    <n v="12478.76"/>
  </r>
  <r>
    <s v="ORD-0094"/>
    <x v="86"/>
    <x v="3"/>
    <s v="Goa"/>
    <x v="1"/>
    <s v="Mobiles"/>
    <x v="3"/>
    <x v="1"/>
    <n v="8"/>
    <n v="26000"/>
    <n v="0.15"/>
    <n v="176800"/>
    <n v="124632.92"/>
    <n v="52167.08"/>
  </r>
  <r>
    <s v="ORD-0095"/>
    <x v="53"/>
    <x v="3"/>
    <s v="Goa"/>
    <x v="1"/>
    <s v="Laptops"/>
    <x v="10"/>
    <x v="5"/>
    <n v="6"/>
    <n v="49000"/>
    <n v="0"/>
    <n v="294000"/>
    <n v="238822.63"/>
    <n v="55177.37"/>
  </r>
  <r>
    <s v="ORD-0096"/>
    <x v="87"/>
    <x v="0"/>
    <s v="Uttar Pradesh"/>
    <x v="1"/>
    <s v="Accessories"/>
    <x v="14"/>
    <x v="3"/>
    <n v="3"/>
    <n v="1200"/>
    <n v="0"/>
    <n v="3600"/>
    <n v="2603.84"/>
    <n v="996.16"/>
  </r>
  <r>
    <s v="ORD-0097"/>
    <x v="38"/>
    <x v="2"/>
    <s v="Kerala"/>
    <x v="0"/>
    <s v="Stationery"/>
    <x v="11"/>
    <x v="2"/>
    <n v="7"/>
    <n v="250"/>
    <n v="0.1"/>
    <n v="1575"/>
    <n v="1193.69"/>
    <n v="381.31"/>
  </r>
  <r>
    <s v="ORD-0098"/>
    <x v="88"/>
    <x v="0"/>
    <s v="Haryana"/>
    <x v="1"/>
    <s v="Accessories"/>
    <x v="16"/>
    <x v="1"/>
    <n v="4"/>
    <n v="2500"/>
    <n v="0"/>
    <n v="10000"/>
    <n v="7154.74"/>
    <n v="2845.26"/>
  </r>
  <r>
    <s v="ORD-0099"/>
    <x v="89"/>
    <x v="0"/>
    <s v="Uttar Pradesh"/>
    <x v="1"/>
    <s v="Accessories"/>
    <x v="4"/>
    <x v="4"/>
    <n v="1"/>
    <n v="1800"/>
    <n v="0.1"/>
    <n v="1620"/>
    <n v="1288.1500000000001"/>
    <n v="331.85"/>
  </r>
  <r>
    <s v="ORD-0100"/>
    <x v="90"/>
    <x v="2"/>
    <s v="Telangana"/>
    <x v="2"/>
    <s v="Chairs"/>
    <x v="9"/>
    <x v="5"/>
    <n v="7"/>
    <n v="6500"/>
    <n v="0.05"/>
    <n v="43225"/>
    <n v="28415.96"/>
    <n v="14809.04"/>
  </r>
  <r>
    <s v="ORD-0101"/>
    <x v="91"/>
    <x v="1"/>
    <s v="Bihar"/>
    <x v="2"/>
    <s v="Chairs"/>
    <x v="9"/>
    <x v="3"/>
    <n v="5"/>
    <n v="6500"/>
    <n v="0.15"/>
    <n v="27625"/>
    <n v="18679.25"/>
    <n v="8945.75"/>
  </r>
  <r>
    <s v="ORD-0102"/>
    <x v="92"/>
    <x v="1"/>
    <s v="Odisha"/>
    <x v="0"/>
    <s v="Stationery"/>
    <x v="12"/>
    <x v="3"/>
    <n v="6"/>
    <n v="450"/>
    <n v="0.1"/>
    <n v="2430"/>
    <n v="1848.18"/>
    <n v="581.82000000000005"/>
  </r>
  <r>
    <s v="ORD-0103"/>
    <x v="93"/>
    <x v="2"/>
    <s v="Kerala"/>
    <x v="2"/>
    <s v="Chairs"/>
    <x v="13"/>
    <x v="3"/>
    <n v="2"/>
    <n v="10500"/>
    <n v="0.05"/>
    <n v="19950"/>
    <n v="14042.81"/>
    <n v="5907.19"/>
  </r>
  <r>
    <s v="ORD-0104"/>
    <x v="94"/>
    <x v="2"/>
    <s v="Telangana"/>
    <x v="1"/>
    <s v="Accessories"/>
    <x v="4"/>
    <x v="1"/>
    <n v="1"/>
    <n v="1800"/>
    <n v="0"/>
    <n v="1800"/>
    <n v="1476.6"/>
    <n v="323.39999999999998"/>
  </r>
  <r>
    <s v="ORD-0105"/>
    <x v="95"/>
    <x v="2"/>
    <s v="Tamil Nadu"/>
    <x v="0"/>
    <s v="Printers"/>
    <x v="0"/>
    <x v="2"/>
    <n v="4"/>
    <n v="8500"/>
    <n v="0.1"/>
    <n v="30600"/>
    <n v="23534.71"/>
    <n v="7065.29"/>
  </r>
  <r>
    <s v="ORD-0106"/>
    <x v="96"/>
    <x v="3"/>
    <s v="Rajasthan"/>
    <x v="0"/>
    <s v="Stationery"/>
    <x v="11"/>
    <x v="3"/>
    <n v="1"/>
    <n v="250"/>
    <n v="0.1"/>
    <n v="225"/>
    <n v="175.75"/>
    <n v="49.25"/>
  </r>
  <r>
    <s v="ORD-0107"/>
    <x v="97"/>
    <x v="2"/>
    <s v="Telangana"/>
    <x v="0"/>
    <s v="Printers"/>
    <x v="0"/>
    <x v="0"/>
    <n v="3"/>
    <n v="8500"/>
    <n v="0.1"/>
    <n v="22950"/>
    <n v="16909.27"/>
    <n v="6040.73"/>
  </r>
  <r>
    <s v="ORD-0108"/>
    <x v="76"/>
    <x v="3"/>
    <s v="Maharashtra"/>
    <x v="2"/>
    <s v="Tables"/>
    <x v="6"/>
    <x v="1"/>
    <n v="2"/>
    <n v="25000"/>
    <n v="0.15"/>
    <n v="42500"/>
    <n v="35353.050000000003"/>
    <n v="7146.95"/>
  </r>
  <r>
    <s v="ORD-0109"/>
    <x v="98"/>
    <x v="3"/>
    <s v="Goa"/>
    <x v="0"/>
    <s v="Printers"/>
    <x v="0"/>
    <x v="3"/>
    <n v="1"/>
    <n v="8500"/>
    <n v="0.1"/>
    <n v="7650"/>
    <n v="5646.05"/>
    <n v="2003.95"/>
  </r>
  <r>
    <s v="ORD-0110"/>
    <x v="99"/>
    <x v="2"/>
    <s v="Telangana"/>
    <x v="0"/>
    <s v="Printers"/>
    <x v="17"/>
    <x v="4"/>
    <n v="4"/>
    <n v="14500"/>
    <n v="0.15"/>
    <n v="49300"/>
    <n v="30837.42"/>
    <n v="18462.580000000002"/>
  </r>
  <r>
    <s v="ORD-0111"/>
    <x v="100"/>
    <x v="2"/>
    <s v="Tamil Nadu"/>
    <x v="0"/>
    <s v="Stationery"/>
    <x v="15"/>
    <x v="3"/>
    <n v="5"/>
    <n v="180"/>
    <n v="0.15"/>
    <n v="765"/>
    <n v="493.94"/>
    <n v="271.06"/>
  </r>
  <r>
    <s v="ORD-0112"/>
    <x v="5"/>
    <x v="0"/>
    <s v="Punjab"/>
    <x v="2"/>
    <s v="Chairs"/>
    <x v="9"/>
    <x v="0"/>
    <n v="3"/>
    <n v="6500"/>
    <n v="0.15"/>
    <n v="16575"/>
    <n v="11930.71"/>
    <n v="4644.29"/>
  </r>
  <r>
    <s v="ORD-0113"/>
    <x v="17"/>
    <x v="1"/>
    <s v="Bihar"/>
    <x v="2"/>
    <s v="Chairs"/>
    <x v="13"/>
    <x v="5"/>
    <n v="7"/>
    <n v="10500"/>
    <n v="0.1"/>
    <n v="66150"/>
    <n v="41489.120000000003"/>
    <n v="24660.880000000001"/>
  </r>
  <r>
    <s v="ORD-0114"/>
    <x v="101"/>
    <x v="3"/>
    <s v="Goa"/>
    <x v="2"/>
    <s v="Chairs"/>
    <x v="13"/>
    <x v="4"/>
    <n v="6"/>
    <n v="10500"/>
    <n v="0.1"/>
    <n v="56700"/>
    <n v="35909.300000000003"/>
    <n v="20790.7"/>
  </r>
  <r>
    <s v="ORD-0115"/>
    <x v="102"/>
    <x v="3"/>
    <s v="Rajasthan"/>
    <x v="2"/>
    <s v="Chairs"/>
    <x v="5"/>
    <x v="0"/>
    <n v="1"/>
    <n v="4200"/>
    <n v="0"/>
    <n v="4200"/>
    <n v="3331"/>
    <n v="869"/>
  </r>
  <r>
    <s v="ORD-0116"/>
    <x v="45"/>
    <x v="3"/>
    <s v="Gujarat"/>
    <x v="1"/>
    <s v="Accessories"/>
    <x v="14"/>
    <x v="5"/>
    <n v="4"/>
    <n v="1200"/>
    <n v="0.05"/>
    <n v="4560"/>
    <n v="3156.81"/>
    <n v="1403.19"/>
  </r>
  <r>
    <s v="ORD-0117"/>
    <x v="103"/>
    <x v="0"/>
    <s v="Punjab"/>
    <x v="1"/>
    <s v="Laptops"/>
    <x v="10"/>
    <x v="1"/>
    <n v="3"/>
    <n v="49000"/>
    <n v="0"/>
    <n v="147000"/>
    <n v="112518.6"/>
    <n v="34481.4"/>
  </r>
  <r>
    <s v="ORD-0118"/>
    <x v="104"/>
    <x v="3"/>
    <s v="Rajasthan"/>
    <x v="2"/>
    <s v="Chairs"/>
    <x v="5"/>
    <x v="1"/>
    <n v="1"/>
    <n v="4200"/>
    <n v="0.05"/>
    <n v="3990"/>
    <n v="2706.74"/>
    <n v="1283.26"/>
  </r>
  <r>
    <s v="ORD-0119"/>
    <x v="105"/>
    <x v="1"/>
    <s v="West Bengal"/>
    <x v="0"/>
    <s v="Stationery"/>
    <x v="11"/>
    <x v="3"/>
    <n v="6"/>
    <n v="250"/>
    <n v="0"/>
    <n v="1500"/>
    <n v="1079.1600000000001"/>
    <n v="420.84"/>
  </r>
  <r>
    <s v="ORD-0120"/>
    <x v="106"/>
    <x v="0"/>
    <s v="Punjab"/>
    <x v="2"/>
    <s v="Chairs"/>
    <x v="9"/>
    <x v="3"/>
    <n v="7"/>
    <n v="6500"/>
    <n v="0.15"/>
    <n v="38675"/>
    <n v="29816.16"/>
    <n v="8858.84"/>
  </r>
  <r>
    <s v="ORD-0121"/>
    <x v="64"/>
    <x v="1"/>
    <s v="West Bengal"/>
    <x v="1"/>
    <s v="Mobiles"/>
    <x v="19"/>
    <x v="0"/>
    <n v="2"/>
    <n v="22000"/>
    <n v="0.05"/>
    <n v="41800"/>
    <n v="28445.05"/>
    <n v="13354.95"/>
  </r>
  <r>
    <s v="ORD-0122"/>
    <x v="107"/>
    <x v="2"/>
    <s v="Kerala"/>
    <x v="0"/>
    <s v="Printers"/>
    <x v="17"/>
    <x v="5"/>
    <n v="7"/>
    <n v="14500"/>
    <n v="0"/>
    <n v="101500"/>
    <n v="80639.839999999997"/>
    <n v="20860.16"/>
  </r>
  <r>
    <s v="ORD-0123"/>
    <x v="12"/>
    <x v="3"/>
    <s v="Goa"/>
    <x v="2"/>
    <s v="Chairs"/>
    <x v="13"/>
    <x v="1"/>
    <n v="8"/>
    <n v="10500"/>
    <n v="0.15"/>
    <n v="71400"/>
    <n v="50802.37"/>
    <n v="20597.63"/>
  </r>
  <r>
    <s v="ORD-0124"/>
    <x v="108"/>
    <x v="2"/>
    <s v="Kerala"/>
    <x v="2"/>
    <s v="Tables"/>
    <x v="7"/>
    <x v="0"/>
    <n v="8"/>
    <n v="12000"/>
    <n v="0"/>
    <n v="96000"/>
    <n v="61446.67"/>
    <n v="34553.33"/>
  </r>
  <r>
    <s v="ORD-0125"/>
    <x v="109"/>
    <x v="0"/>
    <s v="Uttar Pradesh"/>
    <x v="1"/>
    <s v="Accessories"/>
    <x v="16"/>
    <x v="1"/>
    <n v="3"/>
    <n v="2500"/>
    <n v="0"/>
    <n v="7500"/>
    <n v="5617.67"/>
    <n v="1882.33"/>
  </r>
  <r>
    <s v="ORD-0126"/>
    <x v="100"/>
    <x v="2"/>
    <s v="Karnataka"/>
    <x v="2"/>
    <s v="Tables"/>
    <x v="6"/>
    <x v="3"/>
    <n v="1"/>
    <n v="25000"/>
    <n v="0.1"/>
    <n v="22500"/>
    <n v="16922.03"/>
    <n v="5577.97"/>
  </r>
  <r>
    <s v="ORD-0127"/>
    <x v="110"/>
    <x v="0"/>
    <s v="Delhi"/>
    <x v="1"/>
    <s v="Accessories"/>
    <x v="4"/>
    <x v="0"/>
    <n v="2"/>
    <n v="1800"/>
    <n v="0.1"/>
    <n v="3240"/>
    <n v="2611.38"/>
    <n v="628.62"/>
  </r>
  <r>
    <s v="ORD-0128"/>
    <x v="65"/>
    <x v="0"/>
    <s v="Punjab"/>
    <x v="0"/>
    <s v="Stationery"/>
    <x v="11"/>
    <x v="5"/>
    <n v="1"/>
    <n v="250"/>
    <n v="0.1"/>
    <n v="225"/>
    <n v="140.93"/>
    <n v="84.07"/>
  </r>
  <r>
    <s v="ORD-0129"/>
    <x v="76"/>
    <x v="2"/>
    <s v="Telangana"/>
    <x v="2"/>
    <s v="Chairs"/>
    <x v="9"/>
    <x v="0"/>
    <n v="7"/>
    <n v="6500"/>
    <n v="0"/>
    <n v="45500"/>
    <n v="29630.17"/>
    <n v="15869.83"/>
  </r>
  <r>
    <s v="ORD-0130"/>
    <x v="107"/>
    <x v="0"/>
    <s v="Haryana"/>
    <x v="0"/>
    <s v="Stationery"/>
    <x v="11"/>
    <x v="3"/>
    <n v="8"/>
    <n v="250"/>
    <n v="0.1"/>
    <n v="1800"/>
    <n v="1178.33"/>
    <n v="621.66999999999996"/>
  </r>
  <r>
    <s v="ORD-0131"/>
    <x v="111"/>
    <x v="2"/>
    <s v="Karnataka"/>
    <x v="1"/>
    <s v="Laptops"/>
    <x v="1"/>
    <x v="5"/>
    <n v="1"/>
    <n v="52000"/>
    <n v="0"/>
    <n v="52000"/>
    <n v="35352.86"/>
    <n v="16647.14"/>
  </r>
  <r>
    <s v="ORD-0132"/>
    <x v="112"/>
    <x v="1"/>
    <s v="Jharkhand"/>
    <x v="0"/>
    <s v="Printers"/>
    <x v="17"/>
    <x v="1"/>
    <n v="4"/>
    <n v="14500"/>
    <n v="0"/>
    <n v="58000"/>
    <n v="40364.410000000003"/>
    <n v="17635.59"/>
  </r>
  <r>
    <s v="ORD-0133"/>
    <x v="113"/>
    <x v="2"/>
    <s v="Kerala"/>
    <x v="0"/>
    <s v="Printers"/>
    <x v="0"/>
    <x v="0"/>
    <n v="7"/>
    <n v="8500"/>
    <n v="0"/>
    <n v="59500"/>
    <n v="36990.620000000003"/>
    <n v="22509.38"/>
  </r>
  <r>
    <s v="ORD-0134"/>
    <x v="59"/>
    <x v="3"/>
    <s v="Gujarat"/>
    <x v="2"/>
    <s v="Tables"/>
    <x v="7"/>
    <x v="4"/>
    <n v="1"/>
    <n v="12000"/>
    <n v="0.15"/>
    <n v="10200"/>
    <n v="8000.3"/>
    <n v="2199.6999999999998"/>
  </r>
  <r>
    <s v="ORD-0135"/>
    <x v="114"/>
    <x v="3"/>
    <s v="Goa"/>
    <x v="0"/>
    <s v="Stationery"/>
    <x v="15"/>
    <x v="5"/>
    <n v="6"/>
    <n v="180"/>
    <n v="0"/>
    <n v="1080"/>
    <n v="763.94"/>
    <n v="316.06"/>
  </r>
  <r>
    <s v="ORD-0136"/>
    <x v="115"/>
    <x v="1"/>
    <s v="West Bengal"/>
    <x v="2"/>
    <s v="Chairs"/>
    <x v="13"/>
    <x v="5"/>
    <n v="7"/>
    <n v="10500"/>
    <n v="0.15"/>
    <n v="62475"/>
    <n v="48486.21"/>
    <n v="13988.79"/>
  </r>
  <r>
    <s v="ORD-0137"/>
    <x v="116"/>
    <x v="2"/>
    <s v="Karnataka"/>
    <x v="2"/>
    <s v="Chairs"/>
    <x v="13"/>
    <x v="0"/>
    <n v="8"/>
    <n v="10500"/>
    <n v="0.1"/>
    <n v="75600"/>
    <n v="48337.78"/>
    <n v="27262.22"/>
  </r>
  <r>
    <s v="ORD-0138"/>
    <x v="117"/>
    <x v="3"/>
    <s v="Goa"/>
    <x v="0"/>
    <s v="Printers"/>
    <x v="0"/>
    <x v="3"/>
    <n v="5"/>
    <n v="8500"/>
    <n v="0.1"/>
    <n v="38250"/>
    <n v="25579.53"/>
    <n v="12670.47"/>
  </r>
  <r>
    <s v="ORD-0139"/>
    <x v="118"/>
    <x v="0"/>
    <s v="Haryana"/>
    <x v="0"/>
    <s v="Stationery"/>
    <x v="11"/>
    <x v="1"/>
    <n v="3"/>
    <n v="250"/>
    <n v="0.05"/>
    <n v="712.5"/>
    <n v="457.86"/>
    <n v="254.64"/>
  </r>
  <r>
    <s v="ORD-0140"/>
    <x v="57"/>
    <x v="3"/>
    <s v="Gujarat"/>
    <x v="0"/>
    <s v="Stationery"/>
    <x v="15"/>
    <x v="4"/>
    <n v="3"/>
    <n v="180"/>
    <n v="0.15"/>
    <n v="459"/>
    <n v="331.43"/>
    <n v="127.57"/>
  </r>
  <r>
    <s v="ORD-0141"/>
    <x v="71"/>
    <x v="1"/>
    <s v="Odisha"/>
    <x v="0"/>
    <s v="Printers"/>
    <x v="0"/>
    <x v="3"/>
    <n v="2"/>
    <n v="8500"/>
    <n v="0.15"/>
    <n v="14450"/>
    <n v="10364.780000000001"/>
    <n v="4085.22"/>
  </r>
  <r>
    <s v="ORD-0142"/>
    <x v="119"/>
    <x v="2"/>
    <s v="Karnataka"/>
    <x v="2"/>
    <s v="Chairs"/>
    <x v="13"/>
    <x v="3"/>
    <n v="8"/>
    <n v="10500"/>
    <n v="0"/>
    <n v="84000"/>
    <n v="53131.33"/>
    <n v="30868.67"/>
  </r>
  <r>
    <s v="ORD-0143"/>
    <x v="120"/>
    <x v="0"/>
    <s v="Haryana"/>
    <x v="0"/>
    <s v="Printers"/>
    <x v="17"/>
    <x v="5"/>
    <n v="1"/>
    <n v="14500"/>
    <n v="0.15"/>
    <n v="12325"/>
    <n v="10106.39"/>
    <n v="2218.61"/>
  </r>
  <r>
    <s v="ORD-0144"/>
    <x v="20"/>
    <x v="3"/>
    <s v="Maharashtra"/>
    <x v="0"/>
    <s v="Printers"/>
    <x v="0"/>
    <x v="4"/>
    <n v="8"/>
    <n v="8500"/>
    <n v="0"/>
    <n v="68000"/>
    <n v="54292.06"/>
    <n v="13707.94"/>
  </r>
  <r>
    <s v="ORD-0145"/>
    <x v="121"/>
    <x v="0"/>
    <s v="Delhi"/>
    <x v="1"/>
    <s v="Laptops"/>
    <x v="10"/>
    <x v="3"/>
    <n v="8"/>
    <n v="49000"/>
    <n v="0.05"/>
    <n v="372400"/>
    <n v="260701.43"/>
    <n v="111698.57"/>
  </r>
  <r>
    <s v="ORD-0146"/>
    <x v="122"/>
    <x v="1"/>
    <s v="Jharkhand"/>
    <x v="2"/>
    <s v="Chairs"/>
    <x v="5"/>
    <x v="2"/>
    <n v="6"/>
    <n v="4200"/>
    <n v="0"/>
    <n v="25200"/>
    <n v="17451.810000000001"/>
    <n v="7748.19"/>
  </r>
  <r>
    <s v="ORD-0147"/>
    <x v="123"/>
    <x v="1"/>
    <s v="Odisha"/>
    <x v="2"/>
    <s v="Chairs"/>
    <x v="13"/>
    <x v="4"/>
    <n v="3"/>
    <n v="10500"/>
    <n v="0.1"/>
    <n v="28350"/>
    <n v="19511.919999999998"/>
    <n v="8838.08"/>
  </r>
  <r>
    <s v="ORD-0148"/>
    <x v="124"/>
    <x v="1"/>
    <s v="Bihar"/>
    <x v="0"/>
    <s v="Stationery"/>
    <x v="11"/>
    <x v="5"/>
    <n v="7"/>
    <n v="250"/>
    <n v="0.1"/>
    <n v="1575"/>
    <n v="1258.27"/>
    <n v="316.73"/>
  </r>
  <r>
    <s v="ORD-0149"/>
    <x v="17"/>
    <x v="0"/>
    <s v="Uttar Pradesh"/>
    <x v="0"/>
    <s v="Printers"/>
    <x v="0"/>
    <x v="1"/>
    <n v="5"/>
    <n v="8500"/>
    <n v="0.05"/>
    <n v="40375"/>
    <n v="33481.26"/>
    <n v="6893.74"/>
  </r>
  <r>
    <s v="ORD-0150"/>
    <x v="125"/>
    <x v="1"/>
    <s v="Bihar"/>
    <x v="1"/>
    <s v="Laptops"/>
    <x v="1"/>
    <x v="4"/>
    <n v="5"/>
    <n v="52000"/>
    <n v="0"/>
    <n v="260000"/>
    <n v="190239.85"/>
    <n v="69760.149999999994"/>
  </r>
  <r>
    <s v="ORD-0151"/>
    <x v="126"/>
    <x v="0"/>
    <s v="Punjab"/>
    <x v="0"/>
    <s v="Stationery"/>
    <x v="15"/>
    <x v="3"/>
    <n v="3"/>
    <n v="180"/>
    <n v="0.05"/>
    <n v="513"/>
    <n v="338.47"/>
    <n v="174.53"/>
  </r>
  <r>
    <s v="ORD-0152"/>
    <x v="127"/>
    <x v="3"/>
    <s v="Goa"/>
    <x v="1"/>
    <s v="Mobiles"/>
    <x v="8"/>
    <x v="2"/>
    <n v="4"/>
    <n v="31000"/>
    <n v="0.15"/>
    <n v="105400"/>
    <n v="79506.490000000005"/>
    <n v="25893.51"/>
  </r>
  <r>
    <s v="ORD-0153"/>
    <x v="128"/>
    <x v="3"/>
    <s v="Gujarat"/>
    <x v="2"/>
    <s v="Tables"/>
    <x v="2"/>
    <x v="1"/>
    <n v="8"/>
    <n v="7000"/>
    <n v="0.15"/>
    <n v="47600"/>
    <n v="37569.56"/>
    <n v="10030.44"/>
  </r>
  <r>
    <s v="ORD-0154"/>
    <x v="129"/>
    <x v="1"/>
    <s v="Bihar"/>
    <x v="1"/>
    <s v="Accessories"/>
    <x v="14"/>
    <x v="1"/>
    <n v="1"/>
    <n v="1200"/>
    <n v="0.15"/>
    <n v="1020"/>
    <n v="828.55"/>
    <n v="191.45"/>
  </r>
  <r>
    <s v="ORD-0155"/>
    <x v="30"/>
    <x v="0"/>
    <s v="Haryana"/>
    <x v="2"/>
    <s v="Chairs"/>
    <x v="9"/>
    <x v="1"/>
    <n v="8"/>
    <n v="6500"/>
    <n v="0.05"/>
    <n v="49400"/>
    <n v="39659.82"/>
    <n v="9740.18"/>
  </r>
  <r>
    <s v="ORD-0156"/>
    <x v="97"/>
    <x v="3"/>
    <s v="Goa"/>
    <x v="2"/>
    <s v="Chairs"/>
    <x v="13"/>
    <x v="4"/>
    <n v="7"/>
    <n v="10500"/>
    <n v="0.1"/>
    <n v="66150"/>
    <n v="44444.28"/>
    <n v="21705.72"/>
  </r>
  <r>
    <s v="ORD-0157"/>
    <x v="130"/>
    <x v="2"/>
    <s v="Tamil Nadu"/>
    <x v="1"/>
    <s v="Mobiles"/>
    <x v="3"/>
    <x v="2"/>
    <n v="6"/>
    <n v="26000"/>
    <n v="0.05"/>
    <n v="148200"/>
    <n v="96370.3"/>
    <n v="51829.7"/>
  </r>
  <r>
    <s v="ORD-0158"/>
    <x v="120"/>
    <x v="1"/>
    <s v="Bihar"/>
    <x v="0"/>
    <s v="Printers"/>
    <x v="17"/>
    <x v="5"/>
    <n v="1"/>
    <n v="14500"/>
    <n v="0"/>
    <n v="14500"/>
    <n v="9050.6200000000008"/>
    <n v="5449.38"/>
  </r>
  <r>
    <s v="ORD-0159"/>
    <x v="3"/>
    <x v="3"/>
    <s v="Goa"/>
    <x v="1"/>
    <s v="Mobiles"/>
    <x v="3"/>
    <x v="1"/>
    <n v="2"/>
    <n v="26000"/>
    <n v="0"/>
    <n v="52000"/>
    <n v="34967.75"/>
    <n v="17032.25"/>
  </r>
  <r>
    <s v="ORD-0160"/>
    <x v="0"/>
    <x v="1"/>
    <s v="West Bengal"/>
    <x v="1"/>
    <s v="Mobiles"/>
    <x v="19"/>
    <x v="5"/>
    <n v="1"/>
    <n v="22000"/>
    <n v="0.05"/>
    <n v="20900"/>
    <n v="16261.87"/>
    <n v="4638.13"/>
  </r>
  <r>
    <s v="ORD-0161"/>
    <x v="83"/>
    <x v="1"/>
    <s v="West Bengal"/>
    <x v="0"/>
    <s v="Printers"/>
    <x v="0"/>
    <x v="5"/>
    <n v="7"/>
    <n v="8500"/>
    <n v="0.05"/>
    <n v="56525"/>
    <n v="43307.29"/>
    <n v="13217.71"/>
  </r>
  <r>
    <s v="ORD-0162"/>
    <x v="109"/>
    <x v="2"/>
    <s v="Karnataka"/>
    <x v="0"/>
    <s v="Stationery"/>
    <x v="11"/>
    <x v="3"/>
    <n v="1"/>
    <n v="250"/>
    <n v="0.15"/>
    <n v="212.5"/>
    <n v="177.61"/>
    <n v="34.89"/>
  </r>
  <r>
    <s v="ORD-0163"/>
    <x v="131"/>
    <x v="0"/>
    <s v="Punjab"/>
    <x v="1"/>
    <s v="Mobiles"/>
    <x v="3"/>
    <x v="2"/>
    <n v="2"/>
    <n v="26000"/>
    <n v="0.1"/>
    <n v="46800"/>
    <n v="30389.59"/>
    <n v="16410.41"/>
  </r>
  <r>
    <s v="ORD-0164"/>
    <x v="110"/>
    <x v="2"/>
    <s v="Tamil Nadu"/>
    <x v="0"/>
    <s v="Printers"/>
    <x v="17"/>
    <x v="2"/>
    <n v="3"/>
    <n v="14500"/>
    <n v="0.05"/>
    <n v="41325"/>
    <n v="26195.18"/>
    <n v="15129.82"/>
  </r>
  <r>
    <s v="ORD-0165"/>
    <x v="132"/>
    <x v="0"/>
    <s v="Punjab"/>
    <x v="1"/>
    <s v="Laptops"/>
    <x v="1"/>
    <x v="4"/>
    <n v="6"/>
    <n v="52000"/>
    <n v="0.1"/>
    <n v="280800"/>
    <n v="205934.34"/>
    <n v="74865.66"/>
  </r>
  <r>
    <s v="ORD-0166"/>
    <x v="29"/>
    <x v="1"/>
    <s v="Odisha"/>
    <x v="1"/>
    <s v="Accessories"/>
    <x v="14"/>
    <x v="1"/>
    <n v="6"/>
    <n v="1200"/>
    <n v="0"/>
    <n v="7200"/>
    <n v="5835.42"/>
    <n v="1364.58"/>
  </r>
  <r>
    <s v="ORD-0167"/>
    <x v="133"/>
    <x v="2"/>
    <s v="Karnataka"/>
    <x v="2"/>
    <s v="Tables"/>
    <x v="7"/>
    <x v="2"/>
    <n v="8"/>
    <n v="12000"/>
    <n v="0.15"/>
    <n v="81600"/>
    <n v="56678.39"/>
    <n v="24921.61"/>
  </r>
  <r>
    <s v="ORD-0168"/>
    <x v="134"/>
    <x v="1"/>
    <s v="Jharkhand"/>
    <x v="2"/>
    <s v="Tables"/>
    <x v="2"/>
    <x v="2"/>
    <n v="7"/>
    <n v="7000"/>
    <n v="0"/>
    <n v="49000"/>
    <n v="35021.949999999997"/>
    <n v="13978.05"/>
  </r>
  <r>
    <s v="ORD-0169"/>
    <x v="135"/>
    <x v="2"/>
    <s v="Telangana"/>
    <x v="1"/>
    <s v="Laptops"/>
    <x v="18"/>
    <x v="2"/>
    <n v="5"/>
    <n v="58000"/>
    <n v="0.1"/>
    <n v="261000"/>
    <n v="187424.48"/>
    <n v="73575.520000000004"/>
  </r>
  <r>
    <s v="ORD-0170"/>
    <x v="136"/>
    <x v="3"/>
    <s v="Goa"/>
    <x v="2"/>
    <s v="Tables"/>
    <x v="2"/>
    <x v="2"/>
    <n v="6"/>
    <n v="7000"/>
    <n v="0.15"/>
    <n v="35700"/>
    <n v="24290.36"/>
    <n v="11409.64"/>
  </r>
  <r>
    <s v="ORD-0171"/>
    <x v="137"/>
    <x v="0"/>
    <s v="Uttar Pradesh"/>
    <x v="2"/>
    <s v="Chairs"/>
    <x v="9"/>
    <x v="0"/>
    <n v="8"/>
    <n v="6500"/>
    <n v="0"/>
    <n v="52000"/>
    <n v="33684.07"/>
    <n v="18315.93"/>
  </r>
  <r>
    <s v="ORD-0172"/>
    <x v="26"/>
    <x v="2"/>
    <s v="Telangana"/>
    <x v="2"/>
    <s v="Chairs"/>
    <x v="5"/>
    <x v="0"/>
    <n v="8"/>
    <n v="4200"/>
    <n v="0.1"/>
    <n v="30240"/>
    <n v="21223.73"/>
    <n v="9016.27"/>
  </r>
  <r>
    <s v="ORD-0173"/>
    <x v="48"/>
    <x v="3"/>
    <s v="Maharashtra"/>
    <x v="2"/>
    <s v="Tables"/>
    <x v="6"/>
    <x v="1"/>
    <n v="4"/>
    <n v="25000"/>
    <n v="0"/>
    <n v="100000"/>
    <n v="62570.09"/>
    <n v="37429.910000000003"/>
  </r>
  <r>
    <s v="ORD-0174"/>
    <x v="134"/>
    <x v="1"/>
    <s v="Jharkhand"/>
    <x v="0"/>
    <s v="Stationery"/>
    <x v="11"/>
    <x v="1"/>
    <n v="8"/>
    <n v="250"/>
    <n v="0.05"/>
    <n v="1900"/>
    <n v="1594.48"/>
    <n v="305.52"/>
  </r>
  <r>
    <s v="ORD-0175"/>
    <x v="120"/>
    <x v="1"/>
    <s v="Bihar"/>
    <x v="1"/>
    <s v="Laptops"/>
    <x v="1"/>
    <x v="3"/>
    <n v="3"/>
    <n v="52000"/>
    <n v="0.15"/>
    <n v="132600"/>
    <n v="111304.14"/>
    <n v="21295.86"/>
  </r>
  <r>
    <s v="ORD-0176"/>
    <x v="138"/>
    <x v="2"/>
    <s v="Telangana"/>
    <x v="0"/>
    <s v="Stationery"/>
    <x v="15"/>
    <x v="5"/>
    <n v="5"/>
    <n v="180"/>
    <n v="0.1"/>
    <n v="810"/>
    <n v="653.91"/>
    <n v="156.09"/>
  </r>
  <r>
    <s v="ORD-0177"/>
    <x v="139"/>
    <x v="3"/>
    <s v="Maharashtra"/>
    <x v="0"/>
    <s v="Stationery"/>
    <x v="12"/>
    <x v="0"/>
    <n v="3"/>
    <n v="450"/>
    <n v="0.05"/>
    <n v="1282.5"/>
    <n v="1018.15"/>
    <n v="264.35000000000002"/>
  </r>
  <r>
    <s v="ORD-0178"/>
    <x v="104"/>
    <x v="2"/>
    <s v="Telangana"/>
    <x v="2"/>
    <s v="Chairs"/>
    <x v="5"/>
    <x v="4"/>
    <n v="2"/>
    <n v="4200"/>
    <n v="0.1"/>
    <n v="7560"/>
    <n v="5349.42"/>
    <n v="2210.58"/>
  </r>
  <r>
    <s v="ORD-0179"/>
    <x v="140"/>
    <x v="1"/>
    <s v="Jharkhand"/>
    <x v="0"/>
    <s v="Stationery"/>
    <x v="12"/>
    <x v="1"/>
    <n v="2"/>
    <n v="450"/>
    <n v="0.15"/>
    <n v="765"/>
    <n v="552.70000000000005"/>
    <n v="212.3"/>
  </r>
  <r>
    <s v="ORD-0180"/>
    <x v="63"/>
    <x v="2"/>
    <s v="Tamil Nadu"/>
    <x v="0"/>
    <s v="Stationery"/>
    <x v="12"/>
    <x v="3"/>
    <n v="1"/>
    <n v="450"/>
    <n v="0"/>
    <n v="450"/>
    <n v="330.29"/>
    <n v="119.71"/>
  </r>
  <r>
    <s v="ORD-0181"/>
    <x v="119"/>
    <x v="3"/>
    <s v="Gujarat"/>
    <x v="2"/>
    <s v="Chairs"/>
    <x v="13"/>
    <x v="5"/>
    <n v="5"/>
    <n v="10500"/>
    <n v="0"/>
    <n v="52500"/>
    <n v="35444.49"/>
    <n v="17055.509999999998"/>
  </r>
  <r>
    <s v="ORD-0182"/>
    <x v="141"/>
    <x v="2"/>
    <s v="Tamil Nadu"/>
    <x v="0"/>
    <s v="Printers"/>
    <x v="0"/>
    <x v="5"/>
    <n v="3"/>
    <n v="8500"/>
    <n v="0.05"/>
    <n v="24225"/>
    <n v="15931.91"/>
    <n v="8293.09"/>
  </r>
  <r>
    <s v="ORD-0183"/>
    <x v="142"/>
    <x v="2"/>
    <s v="Karnataka"/>
    <x v="1"/>
    <s v="Laptops"/>
    <x v="1"/>
    <x v="2"/>
    <n v="5"/>
    <n v="52000"/>
    <n v="0.05"/>
    <n v="247000"/>
    <n v="194816.55"/>
    <n v="52183.45"/>
  </r>
  <r>
    <s v="ORD-0184"/>
    <x v="116"/>
    <x v="0"/>
    <s v="Uttar Pradesh"/>
    <x v="0"/>
    <s v="Printers"/>
    <x v="17"/>
    <x v="3"/>
    <n v="4"/>
    <n v="14500"/>
    <n v="0.15"/>
    <n v="49300"/>
    <n v="33791.97"/>
    <n v="15508.03"/>
  </r>
  <r>
    <s v="ORD-0185"/>
    <x v="143"/>
    <x v="0"/>
    <s v="Delhi"/>
    <x v="2"/>
    <s v="Tables"/>
    <x v="7"/>
    <x v="3"/>
    <n v="4"/>
    <n v="12000"/>
    <n v="0.1"/>
    <n v="43200"/>
    <n v="32549.7"/>
    <n v="10650.3"/>
  </r>
  <r>
    <s v="ORD-0186"/>
    <x v="144"/>
    <x v="2"/>
    <s v="Telangana"/>
    <x v="2"/>
    <s v="Chairs"/>
    <x v="13"/>
    <x v="5"/>
    <n v="2"/>
    <n v="10500"/>
    <n v="0.1"/>
    <n v="18900"/>
    <n v="12723.15"/>
    <n v="6176.85"/>
  </r>
  <r>
    <s v="ORD-0187"/>
    <x v="46"/>
    <x v="2"/>
    <s v="Kerala"/>
    <x v="1"/>
    <s v="Laptops"/>
    <x v="1"/>
    <x v="4"/>
    <n v="5"/>
    <n v="52000"/>
    <n v="0.15"/>
    <n v="221000"/>
    <n v="179035.65"/>
    <n v="41964.35"/>
  </r>
  <r>
    <s v="ORD-0188"/>
    <x v="51"/>
    <x v="3"/>
    <s v="Gujarat"/>
    <x v="2"/>
    <s v="Tables"/>
    <x v="2"/>
    <x v="0"/>
    <n v="8"/>
    <n v="7000"/>
    <n v="0.15"/>
    <n v="47600"/>
    <n v="34735.01"/>
    <n v="12864.99"/>
  </r>
  <r>
    <s v="ORD-0189"/>
    <x v="145"/>
    <x v="1"/>
    <s v="West Bengal"/>
    <x v="1"/>
    <s v="Mobiles"/>
    <x v="19"/>
    <x v="3"/>
    <n v="4"/>
    <n v="22000"/>
    <n v="0.05"/>
    <n v="83600"/>
    <n v="62560.86"/>
    <n v="21039.14"/>
  </r>
  <r>
    <s v="ORD-0190"/>
    <x v="146"/>
    <x v="0"/>
    <s v="Punjab"/>
    <x v="2"/>
    <s v="Tables"/>
    <x v="7"/>
    <x v="5"/>
    <n v="1"/>
    <n v="12000"/>
    <n v="0"/>
    <n v="12000"/>
    <n v="8577.65"/>
    <n v="3422.35"/>
  </r>
  <r>
    <s v="ORD-0191"/>
    <x v="38"/>
    <x v="2"/>
    <s v="Kerala"/>
    <x v="2"/>
    <s v="Chairs"/>
    <x v="13"/>
    <x v="4"/>
    <n v="4"/>
    <n v="10500"/>
    <n v="0.1"/>
    <n v="37800"/>
    <n v="28036.6"/>
    <n v="9763.4"/>
  </r>
  <r>
    <s v="ORD-0192"/>
    <x v="143"/>
    <x v="1"/>
    <s v="Jharkhand"/>
    <x v="0"/>
    <s v="Printers"/>
    <x v="0"/>
    <x v="0"/>
    <n v="2"/>
    <n v="8500"/>
    <n v="0.15"/>
    <n v="14450"/>
    <n v="10145.4"/>
    <n v="4304.6000000000004"/>
  </r>
  <r>
    <s v="ORD-0193"/>
    <x v="147"/>
    <x v="2"/>
    <s v="Tamil Nadu"/>
    <x v="1"/>
    <s v="Accessories"/>
    <x v="16"/>
    <x v="3"/>
    <n v="1"/>
    <n v="2500"/>
    <n v="0"/>
    <n v="2500"/>
    <n v="1571.4"/>
    <n v="928.6"/>
  </r>
  <r>
    <s v="ORD-0194"/>
    <x v="148"/>
    <x v="1"/>
    <s v="Jharkhand"/>
    <x v="1"/>
    <s v="Accessories"/>
    <x v="16"/>
    <x v="0"/>
    <n v="6"/>
    <n v="2500"/>
    <n v="0.1"/>
    <n v="13500"/>
    <n v="8852.6299999999992"/>
    <n v="4647.37"/>
  </r>
  <r>
    <s v="ORD-0195"/>
    <x v="149"/>
    <x v="2"/>
    <s v="Telangana"/>
    <x v="0"/>
    <s v="Printers"/>
    <x v="17"/>
    <x v="3"/>
    <n v="1"/>
    <n v="14500"/>
    <n v="0.1"/>
    <n v="13050"/>
    <n v="9041.99"/>
    <n v="4008.01"/>
  </r>
  <r>
    <s v="ORD-0196"/>
    <x v="113"/>
    <x v="1"/>
    <s v="Odisha"/>
    <x v="0"/>
    <s v="Stationery"/>
    <x v="15"/>
    <x v="3"/>
    <n v="5"/>
    <n v="180"/>
    <n v="0.05"/>
    <n v="855"/>
    <n v="665.8"/>
    <n v="189.2"/>
  </r>
  <r>
    <s v="ORD-0197"/>
    <x v="27"/>
    <x v="1"/>
    <s v="Bihar"/>
    <x v="0"/>
    <s v="Printers"/>
    <x v="0"/>
    <x v="2"/>
    <n v="4"/>
    <n v="8500"/>
    <n v="0"/>
    <n v="34000"/>
    <n v="25362.83"/>
    <n v="8637.17"/>
  </r>
  <r>
    <s v="ORD-0198"/>
    <x v="150"/>
    <x v="0"/>
    <s v="Delhi"/>
    <x v="1"/>
    <s v="Mobiles"/>
    <x v="8"/>
    <x v="3"/>
    <n v="3"/>
    <n v="31000"/>
    <n v="0.15"/>
    <n v="79050"/>
    <n v="61019.49"/>
    <n v="18030.509999999998"/>
  </r>
  <r>
    <s v="ORD-0199"/>
    <x v="21"/>
    <x v="1"/>
    <s v="West Bengal"/>
    <x v="0"/>
    <s v="Stationery"/>
    <x v="15"/>
    <x v="0"/>
    <n v="6"/>
    <n v="180"/>
    <n v="0.15"/>
    <n v="918"/>
    <n v="675.29"/>
    <n v="242.71"/>
  </r>
  <r>
    <s v="ORD-0200"/>
    <x v="144"/>
    <x v="3"/>
    <s v="Goa"/>
    <x v="0"/>
    <s v="Printers"/>
    <x v="17"/>
    <x v="2"/>
    <n v="5"/>
    <n v="14500"/>
    <n v="0.15"/>
    <n v="61625"/>
    <n v="40814.120000000003"/>
    <n v="20810.88"/>
  </r>
  <r>
    <s v="ORD-0201"/>
    <x v="151"/>
    <x v="2"/>
    <s v="Telangana"/>
    <x v="1"/>
    <s v="Mobiles"/>
    <x v="8"/>
    <x v="2"/>
    <n v="4"/>
    <n v="31000"/>
    <n v="0.15"/>
    <n v="105400"/>
    <n v="72699.539999999994"/>
    <n v="32700.46"/>
  </r>
  <r>
    <s v="ORD-0202"/>
    <x v="152"/>
    <x v="2"/>
    <s v="Telangana"/>
    <x v="1"/>
    <s v="Accessories"/>
    <x v="16"/>
    <x v="5"/>
    <n v="7"/>
    <n v="2500"/>
    <n v="0.15"/>
    <n v="14875"/>
    <n v="11900.64"/>
    <n v="2974.36"/>
  </r>
  <r>
    <s v="ORD-0203"/>
    <x v="153"/>
    <x v="2"/>
    <s v="Karnataka"/>
    <x v="2"/>
    <s v="Chairs"/>
    <x v="13"/>
    <x v="3"/>
    <n v="5"/>
    <n v="10500"/>
    <n v="0.15"/>
    <n v="44625"/>
    <n v="29768.32"/>
    <n v="14856.68"/>
  </r>
  <r>
    <s v="ORD-0204"/>
    <x v="40"/>
    <x v="2"/>
    <s v="Telangana"/>
    <x v="1"/>
    <s v="Laptops"/>
    <x v="10"/>
    <x v="2"/>
    <n v="4"/>
    <n v="49000"/>
    <n v="0.05"/>
    <n v="186200"/>
    <n v="117523.56"/>
    <n v="68676.44"/>
  </r>
  <r>
    <s v="ORD-0205"/>
    <x v="14"/>
    <x v="3"/>
    <s v="Gujarat"/>
    <x v="1"/>
    <s v="Laptops"/>
    <x v="18"/>
    <x v="1"/>
    <n v="8"/>
    <n v="58000"/>
    <n v="0"/>
    <n v="464000"/>
    <n v="357216.08"/>
    <n v="106783.92"/>
  </r>
  <r>
    <s v="ORD-0206"/>
    <x v="154"/>
    <x v="0"/>
    <s v="Delhi"/>
    <x v="2"/>
    <s v="Tables"/>
    <x v="7"/>
    <x v="2"/>
    <n v="4"/>
    <n v="12000"/>
    <n v="0.1"/>
    <n v="43200"/>
    <n v="29836.38"/>
    <n v="13363.62"/>
  </r>
  <r>
    <s v="ORD-0207"/>
    <x v="155"/>
    <x v="0"/>
    <s v="Haryana"/>
    <x v="0"/>
    <s v="Stationery"/>
    <x v="15"/>
    <x v="2"/>
    <n v="1"/>
    <n v="180"/>
    <n v="0.05"/>
    <n v="171"/>
    <n v="121.74"/>
    <n v="49.26"/>
  </r>
  <r>
    <s v="ORD-0208"/>
    <x v="156"/>
    <x v="0"/>
    <s v="Uttar Pradesh"/>
    <x v="2"/>
    <s v="Chairs"/>
    <x v="5"/>
    <x v="1"/>
    <n v="1"/>
    <n v="4200"/>
    <n v="0"/>
    <n v="4200"/>
    <n v="2879.71"/>
    <n v="1320.29"/>
  </r>
  <r>
    <s v="ORD-0209"/>
    <x v="157"/>
    <x v="0"/>
    <s v="Punjab"/>
    <x v="2"/>
    <s v="Tables"/>
    <x v="6"/>
    <x v="5"/>
    <n v="8"/>
    <n v="25000"/>
    <n v="0.05"/>
    <n v="190000"/>
    <n v="153374.29999999999"/>
    <n v="36625.699999999997"/>
  </r>
  <r>
    <s v="ORD-0210"/>
    <x v="158"/>
    <x v="2"/>
    <s v="Tamil Nadu"/>
    <x v="1"/>
    <s v="Mobiles"/>
    <x v="3"/>
    <x v="2"/>
    <n v="8"/>
    <n v="26000"/>
    <n v="0.1"/>
    <n v="187200"/>
    <n v="145658.75"/>
    <n v="41541.25"/>
  </r>
  <r>
    <s v="ORD-0211"/>
    <x v="159"/>
    <x v="2"/>
    <s v="Telangana"/>
    <x v="0"/>
    <s v="Stationery"/>
    <x v="12"/>
    <x v="5"/>
    <n v="7"/>
    <n v="450"/>
    <n v="0.15"/>
    <n v="2677.5"/>
    <n v="1963.58"/>
    <n v="713.92"/>
  </r>
  <r>
    <s v="ORD-0212"/>
    <x v="61"/>
    <x v="1"/>
    <s v="West Bengal"/>
    <x v="1"/>
    <s v="Laptops"/>
    <x v="18"/>
    <x v="1"/>
    <n v="4"/>
    <n v="58000"/>
    <n v="0"/>
    <n v="232000"/>
    <n v="157150.48000000001"/>
    <n v="74849.52"/>
  </r>
  <r>
    <s v="ORD-0213"/>
    <x v="26"/>
    <x v="1"/>
    <s v="Odisha"/>
    <x v="2"/>
    <s v="Tables"/>
    <x v="6"/>
    <x v="2"/>
    <n v="1"/>
    <n v="25000"/>
    <n v="0.1"/>
    <n v="22500"/>
    <n v="17185.73"/>
    <n v="5314.27"/>
  </r>
  <r>
    <s v="ORD-0214"/>
    <x v="127"/>
    <x v="3"/>
    <s v="Rajasthan"/>
    <x v="0"/>
    <s v="Stationery"/>
    <x v="11"/>
    <x v="1"/>
    <n v="3"/>
    <n v="250"/>
    <n v="0.15"/>
    <n v="637.5"/>
    <n v="491.47"/>
    <n v="146.03"/>
  </r>
  <r>
    <s v="ORD-0215"/>
    <x v="160"/>
    <x v="2"/>
    <s v="Karnataka"/>
    <x v="0"/>
    <s v="Printers"/>
    <x v="17"/>
    <x v="5"/>
    <n v="4"/>
    <n v="14500"/>
    <n v="0.05"/>
    <n v="55100"/>
    <n v="45767.12"/>
    <n v="9332.8799999999992"/>
  </r>
  <r>
    <s v="ORD-0216"/>
    <x v="70"/>
    <x v="3"/>
    <s v="Goa"/>
    <x v="0"/>
    <s v="Printers"/>
    <x v="17"/>
    <x v="2"/>
    <n v="8"/>
    <n v="14500"/>
    <n v="0.05"/>
    <n v="110200"/>
    <n v="86794.52"/>
    <n v="23405.48"/>
  </r>
  <r>
    <s v="ORD-0217"/>
    <x v="161"/>
    <x v="0"/>
    <s v="Uttar Pradesh"/>
    <x v="0"/>
    <s v="Printers"/>
    <x v="0"/>
    <x v="5"/>
    <n v="2"/>
    <n v="8500"/>
    <n v="0"/>
    <n v="17000"/>
    <n v="13639.61"/>
    <n v="3360.39"/>
  </r>
  <r>
    <s v="ORD-0218"/>
    <x v="162"/>
    <x v="3"/>
    <s v="Gujarat"/>
    <x v="1"/>
    <s v="Mobiles"/>
    <x v="19"/>
    <x v="3"/>
    <n v="2"/>
    <n v="22000"/>
    <n v="0.05"/>
    <n v="41800"/>
    <n v="32508.78"/>
    <n v="9291.2199999999993"/>
  </r>
  <r>
    <s v="ORD-0219"/>
    <x v="163"/>
    <x v="0"/>
    <s v="Uttar Pradesh"/>
    <x v="1"/>
    <s v="Mobiles"/>
    <x v="3"/>
    <x v="5"/>
    <n v="7"/>
    <n v="26000"/>
    <n v="0.15"/>
    <n v="154700"/>
    <n v="115106.15"/>
    <n v="39593.85"/>
  </r>
  <r>
    <s v="ORD-0220"/>
    <x v="164"/>
    <x v="1"/>
    <s v="Odisha"/>
    <x v="0"/>
    <s v="Stationery"/>
    <x v="11"/>
    <x v="1"/>
    <n v="1"/>
    <n v="250"/>
    <n v="0.05"/>
    <n v="237.5"/>
    <n v="177.47"/>
    <n v="60.03"/>
  </r>
  <r>
    <s v="ORD-0221"/>
    <x v="5"/>
    <x v="1"/>
    <s v="Odisha"/>
    <x v="0"/>
    <s v="Stationery"/>
    <x v="15"/>
    <x v="4"/>
    <n v="2"/>
    <n v="180"/>
    <n v="0.15"/>
    <n v="306"/>
    <n v="191.86"/>
    <n v="114.14"/>
  </r>
  <r>
    <s v="ORD-0222"/>
    <x v="165"/>
    <x v="3"/>
    <s v="Gujarat"/>
    <x v="0"/>
    <s v="Printers"/>
    <x v="17"/>
    <x v="3"/>
    <n v="8"/>
    <n v="14500"/>
    <n v="0.15"/>
    <n v="98600"/>
    <n v="69280.5"/>
    <n v="29319.5"/>
  </r>
  <r>
    <s v="ORD-0223"/>
    <x v="138"/>
    <x v="3"/>
    <s v="Maharashtra"/>
    <x v="1"/>
    <s v="Laptops"/>
    <x v="10"/>
    <x v="3"/>
    <n v="3"/>
    <n v="49000"/>
    <n v="0.05"/>
    <n v="139650"/>
    <n v="112231.22"/>
    <n v="27418.78"/>
  </r>
  <r>
    <s v="ORD-0224"/>
    <x v="166"/>
    <x v="2"/>
    <s v="Kerala"/>
    <x v="0"/>
    <s v="Printers"/>
    <x v="17"/>
    <x v="0"/>
    <n v="4"/>
    <n v="14500"/>
    <n v="0.15"/>
    <n v="49300"/>
    <n v="34320.449999999997"/>
    <n v="14979.55"/>
  </r>
  <r>
    <s v="ORD-0225"/>
    <x v="102"/>
    <x v="3"/>
    <s v="Rajasthan"/>
    <x v="1"/>
    <s v="Accessories"/>
    <x v="4"/>
    <x v="5"/>
    <n v="1"/>
    <n v="1800"/>
    <n v="0.05"/>
    <n v="1710"/>
    <n v="1137.73"/>
    <n v="572.27"/>
  </r>
  <r>
    <s v="ORD-0226"/>
    <x v="167"/>
    <x v="0"/>
    <s v="Uttar Pradesh"/>
    <x v="0"/>
    <s v="Stationery"/>
    <x v="12"/>
    <x v="2"/>
    <n v="1"/>
    <n v="450"/>
    <n v="0.15"/>
    <n v="382.5"/>
    <n v="274.08999999999997"/>
    <n v="108.41"/>
  </r>
  <r>
    <s v="ORD-0227"/>
    <x v="126"/>
    <x v="3"/>
    <s v="Rajasthan"/>
    <x v="1"/>
    <s v="Accessories"/>
    <x v="4"/>
    <x v="0"/>
    <n v="6"/>
    <n v="1800"/>
    <n v="0.1"/>
    <n v="9720"/>
    <n v="6533"/>
    <n v="3187"/>
  </r>
  <r>
    <s v="ORD-0228"/>
    <x v="168"/>
    <x v="3"/>
    <s v="Goa"/>
    <x v="2"/>
    <s v="Tables"/>
    <x v="2"/>
    <x v="5"/>
    <n v="3"/>
    <n v="7000"/>
    <n v="0.15"/>
    <n v="17850"/>
    <n v="13249.83"/>
    <n v="4600.17"/>
  </r>
  <r>
    <s v="ORD-0229"/>
    <x v="146"/>
    <x v="2"/>
    <s v="Kerala"/>
    <x v="0"/>
    <s v="Printers"/>
    <x v="17"/>
    <x v="3"/>
    <n v="3"/>
    <n v="14500"/>
    <n v="0.1"/>
    <n v="39150"/>
    <n v="27515.45"/>
    <n v="11634.55"/>
  </r>
  <r>
    <s v="ORD-0230"/>
    <x v="40"/>
    <x v="1"/>
    <s v="Bihar"/>
    <x v="1"/>
    <s v="Mobiles"/>
    <x v="19"/>
    <x v="0"/>
    <n v="8"/>
    <n v="22000"/>
    <n v="0"/>
    <n v="176000"/>
    <n v="130895.58"/>
    <n v="45104.42"/>
  </r>
  <r>
    <s v="ORD-0231"/>
    <x v="116"/>
    <x v="3"/>
    <s v="Goa"/>
    <x v="1"/>
    <s v="Mobiles"/>
    <x v="3"/>
    <x v="1"/>
    <n v="2"/>
    <n v="26000"/>
    <n v="0.15"/>
    <n v="44200"/>
    <n v="35641.53"/>
    <n v="8558.4699999999993"/>
  </r>
  <r>
    <s v="ORD-0232"/>
    <x v="169"/>
    <x v="3"/>
    <s v="Rajasthan"/>
    <x v="2"/>
    <s v="Tables"/>
    <x v="6"/>
    <x v="5"/>
    <n v="1"/>
    <n v="25000"/>
    <n v="0"/>
    <n v="25000"/>
    <n v="16534.900000000001"/>
    <n v="8465.1"/>
  </r>
  <r>
    <s v="ORD-0233"/>
    <x v="170"/>
    <x v="3"/>
    <s v="Goa"/>
    <x v="1"/>
    <s v="Mobiles"/>
    <x v="8"/>
    <x v="4"/>
    <n v="4"/>
    <n v="31000"/>
    <n v="0.05"/>
    <n v="117800"/>
    <n v="97969.2"/>
    <n v="19830.8"/>
  </r>
  <r>
    <s v="ORD-0234"/>
    <x v="171"/>
    <x v="1"/>
    <s v="Bihar"/>
    <x v="0"/>
    <s v="Stationery"/>
    <x v="11"/>
    <x v="0"/>
    <n v="6"/>
    <n v="250"/>
    <n v="0.1"/>
    <n v="1350"/>
    <n v="950.06"/>
    <n v="399.94"/>
  </r>
  <r>
    <s v="ORD-0235"/>
    <x v="172"/>
    <x v="2"/>
    <s v="Telangana"/>
    <x v="2"/>
    <s v="Tables"/>
    <x v="6"/>
    <x v="3"/>
    <n v="8"/>
    <n v="25000"/>
    <n v="0"/>
    <n v="200000"/>
    <n v="159323.93"/>
    <n v="40676.07"/>
  </r>
  <r>
    <s v="ORD-0236"/>
    <x v="55"/>
    <x v="2"/>
    <s v="Tamil Nadu"/>
    <x v="2"/>
    <s v="Tables"/>
    <x v="7"/>
    <x v="4"/>
    <n v="4"/>
    <n v="12000"/>
    <n v="0.05"/>
    <n v="45600"/>
    <n v="28434.720000000001"/>
    <n v="17165.28"/>
  </r>
  <r>
    <s v="ORD-0237"/>
    <x v="30"/>
    <x v="1"/>
    <s v="Odisha"/>
    <x v="1"/>
    <s v="Laptops"/>
    <x v="18"/>
    <x v="0"/>
    <n v="7"/>
    <n v="58000"/>
    <n v="0.05"/>
    <n v="385700"/>
    <n v="281501.73"/>
    <n v="104198.27"/>
  </r>
  <r>
    <s v="ORD-0238"/>
    <x v="124"/>
    <x v="2"/>
    <s v="Telangana"/>
    <x v="2"/>
    <s v="Tables"/>
    <x v="7"/>
    <x v="0"/>
    <n v="6"/>
    <n v="12000"/>
    <n v="0.05"/>
    <n v="68400"/>
    <n v="44514.1"/>
    <n v="23885.9"/>
  </r>
  <r>
    <s v="ORD-0239"/>
    <x v="1"/>
    <x v="1"/>
    <s v="Bihar"/>
    <x v="0"/>
    <s v="Stationery"/>
    <x v="15"/>
    <x v="4"/>
    <n v="2"/>
    <n v="180"/>
    <n v="0"/>
    <n v="360"/>
    <n v="283.74"/>
    <n v="76.260000000000005"/>
  </r>
  <r>
    <s v="ORD-0240"/>
    <x v="173"/>
    <x v="3"/>
    <s v="Gujarat"/>
    <x v="1"/>
    <s v="Accessories"/>
    <x v="14"/>
    <x v="4"/>
    <n v="4"/>
    <n v="1200"/>
    <n v="0.15"/>
    <n v="4080"/>
    <n v="2864.58"/>
    <n v="1215.42"/>
  </r>
  <r>
    <s v="ORD-0241"/>
    <x v="174"/>
    <x v="1"/>
    <s v="Jharkhand"/>
    <x v="1"/>
    <s v="Laptops"/>
    <x v="10"/>
    <x v="5"/>
    <n v="7"/>
    <n v="49000"/>
    <n v="0"/>
    <n v="343000"/>
    <n v="213922.16"/>
    <n v="129077.84"/>
  </r>
  <r>
    <s v="ORD-0242"/>
    <x v="175"/>
    <x v="2"/>
    <s v="Karnataka"/>
    <x v="0"/>
    <s v="Printers"/>
    <x v="0"/>
    <x v="4"/>
    <n v="2"/>
    <n v="8500"/>
    <n v="0.05"/>
    <n v="16150"/>
    <n v="10869.16"/>
    <n v="5280.84"/>
  </r>
  <r>
    <s v="ORD-0243"/>
    <x v="176"/>
    <x v="2"/>
    <s v="Telangana"/>
    <x v="2"/>
    <s v="Tables"/>
    <x v="2"/>
    <x v="1"/>
    <n v="7"/>
    <n v="7000"/>
    <n v="0.15"/>
    <n v="41650"/>
    <n v="31000.11"/>
    <n v="10649.89"/>
  </r>
  <r>
    <s v="ORD-0244"/>
    <x v="24"/>
    <x v="3"/>
    <s v="Maharashtra"/>
    <x v="0"/>
    <s v="Stationery"/>
    <x v="15"/>
    <x v="2"/>
    <n v="1"/>
    <n v="180"/>
    <n v="0"/>
    <n v="180"/>
    <n v="127.65"/>
    <n v="52.35"/>
  </r>
  <r>
    <s v="ORD-0245"/>
    <x v="177"/>
    <x v="1"/>
    <s v="West Bengal"/>
    <x v="0"/>
    <s v="Stationery"/>
    <x v="15"/>
    <x v="0"/>
    <n v="2"/>
    <n v="180"/>
    <n v="0.15"/>
    <n v="306"/>
    <n v="246.63"/>
    <n v="59.37"/>
  </r>
  <r>
    <s v="ORD-0246"/>
    <x v="155"/>
    <x v="2"/>
    <s v="Karnataka"/>
    <x v="0"/>
    <s v="Stationery"/>
    <x v="12"/>
    <x v="0"/>
    <n v="8"/>
    <n v="450"/>
    <n v="0.1"/>
    <n v="3240"/>
    <n v="2041.99"/>
    <n v="1198.01"/>
  </r>
  <r>
    <s v="ORD-0247"/>
    <x v="178"/>
    <x v="2"/>
    <s v="Karnataka"/>
    <x v="1"/>
    <s v="Mobiles"/>
    <x v="3"/>
    <x v="0"/>
    <n v="3"/>
    <n v="26000"/>
    <n v="0.15"/>
    <n v="66300"/>
    <n v="54654.57"/>
    <n v="11645.43"/>
  </r>
  <r>
    <s v="ORD-0248"/>
    <x v="41"/>
    <x v="3"/>
    <s v="Gujarat"/>
    <x v="0"/>
    <s v="Printers"/>
    <x v="17"/>
    <x v="3"/>
    <n v="3"/>
    <n v="14500"/>
    <n v="0"/>
    <n v="43500"/>
    <n v="31762.59"/>
    <n v="11737.41"/>
  </r>
  <r>
    <s v="ORD-0249"/>
    <x v="179"/>
    <x v="0"/>
    <s v="Haryana"/>
    <x v="2"/>
    <s v="Chairs"/>
    <x v="9"/>
    <x v="1"/>
    <n v="7"/>
    <n v="6500"/>
    <n v="0.1"/>
    <n v="40950"/>
    <n v="25655.9"/>
    <n v="15294.1"/>
  </r>
  <r>
    <s v="ORD-0250"/>
    <x v="76"/>
    <x v="1"/>
    <s v="Jharkhand"/>
    <x v="1"/>
    <s v="Mobiles"/>
    <x v="19"/>
    <x v="3"/>
    <n v="7"/>
    <n v="22000"/>
    <n v="0.05"/>
    <n v="146300"/>
    <n v="112582.66"/>
    <n v="33717.339999999997"/>
  </r>
  <r>
    <s v="ORD-0251"/>
    <x v="112"/>
    <x v="1"/>
    <s v="West Bengal"/>
    <x v="0"/>
    <s v="Printers"/>
    <x v="0"/>
    <x v="2"/>
    <n v="2"/>
    <n v="8500"/>
    <n v="0"/>
    <n v="17000"/>
    <n v="11542.22"/>
    <n v="5457.78"/>
  </r>
  <r>
    <s v="ORD-0252"/>
    <x v="42"/>
    <x v="3"/>
    <s v="Goa"/>
    <x v="2"/>
    <s v="Tables"/>
    <x v="2"/>
    <x v="4"/>
    <n v="1"/>
    <n v="7000"/>
    <n v="0.1"/>
    <n v="6300"/>
    <n v="4522.3999999999996"/>
    <n v="1777.6"/>
  </r>
  <r>
    <s v="ORD-0253"/>
    <x v="180"/>
    <x v="0"/>
    <s v="Delhi"/>
    <x v="1"/>
    <s v="Laptops"/>
    <x v="18"/>
    <x v="3"/>
    <n v="7"/>
    <n v="58000"/>
    <n v="0"/>
    <n v="406000"/>
    <n v="254065.71"/>
    <n v="151934.29"/>
  </r>
  <r>
    <s v="ORD-0254"/>
    <x v="181"/>
    <x v="0"/>
    <s v="Punjab"/>
    <x v="2"/>
    <s v="Chairs"/>
    <x v="13"/>
    <x v="3"/>
    <n v="7"/>
    <n v="10500"/>
    <n v="0"/>
    <n v="73500"/>
    <n v="57290.720000000001"/>
    <n v="16209.28"/>
  </r>
  <r>
    <s v="ORD-0255"/>
    <x v="164"/>
    <x v="3"/>
    <s v="Gujarat"/>
    <x v="0"/>
    <s v="Printers"/>
    <x v="0"/>
    <x v="0"/>
    <n v="5"/>
    <n v="8500"/>
    <n v="0.1"/>
    <n v="38250"/>
    <n v="25973.64"/>
    <n v="12276.36"/>
  </r>
  <r>
    <s v="ORD-0256"/>
    <x v="153"/>
    <x v="0"/>
    <s v="Delhi"/>
    <x v="2"/>
    <s v="Tables"/>
    <x v="7"/>
    <x v="1"/>
    <n v="8"/>
    <n v="12000"/>
    <n v="0"/>
    <n v="96000"/>
    <n v="67146.960000000006"/>
    <n v="28853.040000000001"/>
  </r>
  <r>
    <s v="ORD-0257"/>
    <x v="151"/>
    <x v="1"/>
    <s v="Bihar"/>
    <x v="2"/>
    <s v="Chairs"/>
    <x v="9"/>
    <x v="1"/>
    <n v="1"/>
    <n v="6500"/>
    <n v="0.15"/>
    <n v="5525"/>
    <n v="3829.31"/>
    <n v="1695.69"/>
  </r>
  <r>
    <s v="ORD-0258"/>
    <x v="176"/>
    <x v="1"/>
    <s v="Odisha"/>
    <x v="2"/>
    <s v="Tables"/>
    <x v="7"/>
    <x v="2"/>
    <n v="3"/>
    <n v="12000"/>
    <n v="0.1"/>
    <n v="32400"/>
    <n v="22373.7"/>
    <n v="10026.299999999999"/>
  </r>
  <r>
    <s v="ORD-0259"/>
    <x v="182"/>
    <x v="3"/>
    <s v="Goa"/>
    <x v="2"/>
    <s v="Chairs"/>
    <x v="13"/>
    <x v="1"/>
    <n v="5"/>
    <n v="10500"/>
    <n v="0.15"/>
    <n v="44625"/>
    <n v="37168.51"/>
    <n v="7456.49"/>
  </r>
  <r>
    <s v="ORD-0260"/>
    <x v="45"/>
    <x v="2"/>
    <s v="Kerala"/>
    <x v="2"/>
    <s v="Tables"/>
    <x v="7"/>
    <x v="4"/>
    <n v="4"/>
    <n v="12000"/>
    <n v="0.05"/>
    <n v="45600"/>
    <n v="35110.94"/>
    <n v="10489.06"/>
  </r>
  <r>
    <s v="ORD-0261"/>
    <x v="16"/>
    <x v="0"/>
    <s v="Uttar Pradesh"/>
    <x v="0"/>
    <s v="Stationery"/>
    <x v="11"/>
    <x v="1"/>
    <n v="2"/>
    <n v="250"/>
    <n v="0.15"/>
    <n v="425"/>
    <n v="326.42"/>
    <n v="98.58"/>
  </r>
  <r>
    <s v="ORD-0262"/>
    <x v="183"/>
    <x v="2"/>
    <s v="Tamil Nadu"/>
    <x v="2"/>
    <s v="Chairs"/>
    <x v="5"/>
    <x v="3"/>
    <n v="7"/>
    <n v="4200"/>
    <n v="0"/>
    <n v="29400"/>
    <n v="21132.560000000001"/>
    <n v="8267.44"/>
  </r>
  <r>
    <s v="ORD-0263"/>
    <x v="84"/>
    <x v="1"/>
    <s v="Jharkhand"/>
    <x v="0"/>
    <s v="Printers"/>
    <x v="0"/>
    <x v="1"/>
    <n v="2"/>
    <n v="8500"/>
    <n v="0"/>
    <n v="17000"/>
    <n v="13415.89"/>
    <n v="3584.11"/>
  </r>
  <r>
    <s v="ORD-0264"/>
    <x v="184"/>
    <x v="2"/>
    <s v="Tamil Nadu"/>
    <x v="0"/>
    <s v="Stationery"/>
    <x v="15"/>
    <x v="2"/>
    <n v="7"/>
    <n v="180"/>
    <n v="0.1"/>
    <n v="1134"/>
    <n v="944.01"/>
    <n v="189.99"/>
  </r>
  <r>
    <s v="ORD-0265"/>
    <x v="185"/>
    <x v="0"/>
    <s v="Haryana"/>
    <x v="1"/>
    <s v="Mobiles"/>
    <x v="3"/>
    <x v="5"/>
    <n v="4"/>
    <n v="26000"/>
    <n v="0.15"/>
    <n v="88400"/>
    <n v="62083.88"/>
    <n v="26316.12"/>
  </r>
  <r>
    <s v="ORD-0266"/>
    <x v="186"/>
    <x v="3"/>
    <s v="Maharashtra"/>
    <x v="1"/>
    <s v="Mobiles"/>
    <x v="3"/>
    <x v="1"/>
    <n v="7"/>
    <n v="26000"/>
    <n v="0"/>
    <n v="182000"/>
    <n v="117487.42"/>
    <n v="64512.58"/>
  </r>
  <r>
    <s v="ORD-0267"/>
    <x v="98"/>
    <x v="2"/>
    <s v="Telangana"/>
    <x v="2"/>
    <s v="Tables"/>
    <x v="2"/>
    <x v="5"/>
    <n v="8"/>
    <n v="7000"/>
    <n v="0.1"/>
    <n v="50400"/>
    <n v="36527.69"/>
    <n v="13872.31"/>
  </r>
  <r>
    <s v="ORD-0268"/>
    <x v="81"/>
    <x v="1"/>
    <s v="Odisha"/>
    <x v="1"/>
    <s v="Mobiles"/>
    <x v="3"/>
    <x v="2"/>
    <n v="2"/>
    <n v="26000"/>
    <n v="0"/>
    <n v="52000"/>
    <n v="41954.62"/>
    <n v="10045.379999999999"/>
  </r>
  <r>
    <s v="ORD-0269"/>
    <x v="187"/>
    <x v="0"/>
    <s v="Delhi"/>
    <x v="0"/>
    <s v="Stationery"/>
    <x v="15"/>
    <x v="0"/>
    <n v="3"/>
    <n v="180"/>
    <n v="0.1"/>
    <n v="486"/>
    <n v="361.18"/>
    <n v="124.82"/>
  </r>
  <r>
    <s v="ORD-0270"/>
    <x v="188"/>
    <x v="3"/>
    <s v="Goa"/>
    <x v="0"/>
    <s v="Stationery"/>
    <x v="12"/>
    <x v="2"/>
    <n v="7"/>
    <n v="450"/>
    <n v="0.15"/>
    <n v="2677.5"/>
    <n v="1677.25"/>
    <n v="1000.25"/>
  </r>
  <r>
    <s v="ORD-0271"/>
    <x v="189"/>
    <x v="3"/>
    <s v="Goa"/>
    <x v="0"/>
    <s v="Printers"/>
    <x v="17"/>
    <x v="4"/>
    <n v="4"/>
    <n v="14500"/>
    <n v="0.05"/>
    <n v="55100"/>
    <n v="37536.1"/>
    <n v="17563.900000000001"/>
  </r>
  <r>
    <s v="ORD-0272"/>
    <x v="160"/>
    <x v="0"/>
    <s v="Haryana"/>
    <x v="0"/>
    <s v="Stationery"/>
    <x v="11"/>
    <x v="1"/>
    <n v="4"/>
    <n v="250"/>
    <n v="0.15"/>
    <n v="850"/>
    <n v="548.30999999999995"/>
    <n v="301.69"/>
  </r>
  <r>
    <s v="ORD-0273"/>
    <x v="17"/>
    <x v="1"/>
    <s v="Odisha"/>
    <x v="0"/>
    <s v="Printers"/>
    <x v="17"/>
    <x v="5"/>
    <n v="2"/>
    <n v="14500"/>
    <n v="0.1"/>
    <n v="26100"/>
    <n v="18203.099999999999"/>
    <n v="7896.9"/>
  </r>
  <r>
    <s v="ORD-0274"/>
    <x v="132"/>
    <x v="3"/>
    <s v="Maharashtra"/>
    <x v="0"/>
    <s v="Stationery"/>
    <x v="15"/>
    <x v="0"/>
    <n v="6"/>
    <n v="180"/>
    <n v="0"/>
    <n v="1080"/>
    <n v="726.28"/>
    <n v="353.72"/>
  </r>
  <r>
    <s v="ORD-0275"/>
    <x v="190"/>
    <x v="3"/>
    <s v="Maharashtra"/>
    <x v="0"/>
    <s v="Stationery"/>
    <x v="15"/>
    <x v="3"/>
    <n v="7"/>
    <n v="180"/>
    <n v="0.05"/>
    <n v="1197"/>
    <n v="893.51"/>
    <n v="303.49"/>
  </r>
  <r>
    <s v="ORD-0276"/>
    <x v="191"/>
    <x v="3"/>
    <s v="Goa"/>
    <x v="0"/>
    <s v="Stationery"/>
    <x v="15"/>
    <x v="0"/>
    <n v="8"/>
    <n v="180"/>
    <n v="0.1"/>
    <n v="1296"/>
    <n v="843.52"/>
    <n v="452.48"/>
  </r>
  <r>
    <s v="ORD-0277"/>
    <x v="79"/>
    <x v="1"/>
    <s v="West Bengal"/>
    <x v="2"/>
    <s v="Chairs"/>
    <x v="13"/>
    <x v="0"/>
    <n v="4"/>
    <n v="10500"/>
    <n v="0.15"/>
    <n v="35700"/>
    <n v="29703.91"/>
    <n v="5996.09"/>
  </r>
  <r>
    <s v="ORD-0278"/>
    <x v="162"/>
    <x v="1"/>
    <s v="Jharkhand"/>
    <x v="0"/>
    <s v="Printers"/>
    <x v="17"/>
    <x v="2"/>
    <n v="8"/>
    <n v="14500"/>
    <n v="0.15"/>
    <n v="98600"/>
    <n v="64760.06"/>
    <n v="33839.94"/>
  </r>
  <r>
    <s v="ORD-0279"/>
    <x v="192"/>
    <x v="0"/>
    <s v="Delhi"/>
    <x v="2"/>
    <s v="Chairs"/>
    <x v="13"/>
    <x v="0"/>
    <n v="5"/>
    <n v="10500"/>
    <n v="0.05"/>
    <n v="49875"/>
    <n v="39489.17"/>
    <n v="10385.83"/>
  </r>
  <r>
    <s v="ORD-0280"/>
    <x v="192"/>
    <x v="1"/>
    <s v="West Bengal"/>
    <x v="0"/>
    <s v="Stationery"/>
    <x v="11"/>
    <x v="5"/>
    <n v="6"/>
    <n v="250"/>
    <n v="0"/>
    <n v="1500"/>
    <n v="1180.8"/>
    <n v="319.2"/>
  </r>
  <r>
    <s v="ORD-0281"/>
    <x v="87"/>
    <x v="3"/>
    <s v="Goa"/>
    <x v="1"/>
    <s v="Accessories"/>
    <x v="16"/>
    <x v="0"/>
    <n v="5"/>
    <n v="2500"/>
    <n v="0"/>
    <n v="12500"/>
    <n v="8986.76"/>
    <n v="3513.24"/>
  </r>
  <r>
    <s v="ORD-0282"/>
    <x v="152"/>
    <x v="0"/>
    <s v="Uttar Pradesh"/>
    <x v="1"/>
    <s v="Laptops"/>
    <x v="1"/>
    <x v="2"/>
    <n v="6"/>
    <n v="52000"/>
    <n v="0.15"/>
    <n v="265200"/>
    <n v="174108.03"/>
    <n v="91091.97"/>
  </r>
  <r>
    <s v="ORD-0283"/>
    <x v="183"/>
    <x v="3"/>
    <s v="Gujarat"/>
    <x v="1"/>
    <s v="Accessories"/>
    <x v="4"/>
    <x v="5"/>
    <n v="5"/>
    <n v="1800"/>
    <n v="0.05"/>
    <n v="8550"/>
    <n v="5909.79"/>
    <n v="2640.21"/>
  </r>
  <r>
    <s v="ORD-0284"/>
    <x v="160"/>
    <x v="2"/>
    <s v="Telangana"/>
    <x v="0"/>
    <s v="Printers"/>
    <x v="0"/>
    <x v="0"/>
    <n v="7"/>
    <n v="8500"/>
    <n v="0"/>
    <n v="59500"/>
    <n v="49881.64"/>
    <n v="9618.36"/>
  </r>
  <r>
    <s v="ORD-0285"/>
    <x v="124"/>
    <x v="3"/>
    <s v="Gujarat"/>
    <x v="1"/>
    <s v="Laptops"/>
    <x v="10"/>
    <x v="1"/>
    <n v="4"/>
    <n v="49000"/>
    <n v="0.15"/>
    <n v="166600"/>
    <n v="121231.64"/>
    <n v="45368.36"/>
  </r>
  <r>
    <s v="ORD-0286"/>
    <x v="193"/>
    <x v="2"/>
    <s v="Kerala"/>
    <x v="2"/>
    <s v="Tables"/>
    <x v="2"/>
    <x v="2"/>
    <n v="2"/>
    <n v="7000"/>
    <n v="0.15"/>
    <n v="11900"/>
    <n v="8727.8799999999992"/>
    <n v="3172.12"/>
  </r>
  <r>
    <s v="ORD-0287"/>
    <x v="194"/>
    <x v="2"/>
    <s v="Kerala"/>
    <x v="2"/>
    <s v="Tables"/>
    <x v="6"/>
    <x v="4"/>
    <n v="2"/>
    <n v="25000"/>
    <n v="0.15"/>
    <n v="42500"/>
    <n v="32285.759999999998"/>
    <n v="10214.24"/>
  </r>
  <r>
    <s v="ORD-0288"/>
    <x v="195"/>
    <x v="2"/>
    <s v="Karnataka"/>
    <x v="0"/>
    <s v="Printers"/>
    <x v="0"/>
    <x v="3"/>
    <n v="4"/>
    <n v="8500"/>
    <n v="0.15"/>
    <n v="28900"/>
    <n v="19625.36"/>
    <n v="9274.64"/>
  </r>
  <r>
    <s v="ORD-0289"/>
    <x v="44"/>
    <x v="2"/>
    <s v="Tamil Nadu"/>
    <x v="0"/>
    <s v="Printers"/>
    <x v="17"/>
    <x v="2"/>
    <n v="1"/>
    <n v="14500"/>
    <n v="0"/>
    <n v="14500"/>
    <n v="9307.64"/>
    <n v="5192.3599999999997"/>
  </r>
  <r>
    <s v="ORD-0290"/>
    <x v="4"/>
    <x v="0"/>
    <s v="Haryana"/>
    <x v="1"/>
    <s v="Mobiles"/>
    <x v="8"/>
    <x v="4"/>
    <n v="7"/>
    <n v="31000"/>
    <n v="0.05"/>
    <n v="206150"/>
    <n v="172970.71"/>
    <n v="33179.29"/>
  </r>
  <r>
    <s v="ORD-0291"/>
    <x v="196"/>
    <x v="2"/>
    <s v="Tamil Nadu"/>
    <x v="2"/>
    <s v="Chairs"/>
    <x v="5"/>
    <x v="1"/>
    <n v="5"/>
    <n v="4200"/>
    <n v="0"/>
    <n v="21000"/>
    <n v="14737.92"/>
    <n v="6262.08"/>
  </r>
  <r>
    <s v="ORD-0292"/>
    <x v="2"/>
    <x v="3"/>
    <s v="Rajasthan"/>
    <x v="2"/>
    <s v="Tables"/>
    <x v="6"/>
    <x v="2"/>
    <n v="4"/>
    <n v="25000"/>
    <n v="0.15"/>
    <n v="85000"/>
    <n v="64957.57"/>
    <n v="20042.43"/>
  </r>
  <r>
    <s v="ORD-0293"/>
    <x v="160"/>
    <x v="0"/>
    <s v="Haryana"/>
    <x v="1"/>
    <s v="Mobiles"/>
    <x v="3"/>
    <x v="0"/>
    <n v="4"/>
    <n v="26000"/>
    <n v="0.15"/>
    <n v="88400"/>
    <n v="54988.61"/>
    <n v="33411.39"/>
  </r>
  <r>
    <s v="ORD-0294"/>
    <x v="24"/>
    <x v="2"/>
    <s v="Karnataka"/>
    <x v="2"/>
    <s v="Chairs"/>
    <x v="13"/>
    <x v="4"/>
    <n v="4"/>
    <n v="10500"/>
    <n v="0.15"/>
    <n v="35700"/>
    <n v="22835.61"/>
    <n v="12864.39"/>
  </r>
  <r>
    <s v="ORD-0295"/>
    <x v="197"/>
    <x v="0"/>
    <s v="Punjab"/>
    <x v="2"/>
    <s v="Tables"/>
    <x v="2"/>
    <x v="3"/>
    <n v="3"/>
    <n v="7000"/>
    <n v="0.05"/>
    <n v="19950"/>
    <n v="12669.26"/>
    <n v="7280.74"/>
  </r>
  <r>
    <s v="ORD-0296"/>
    <x v="71"/>
    <x v="0"/>
    <s v="Delhi"/>
    <x v="2"/>
    <s v="Tables"/>
    <x v="6"/>
    <x v="0"/>
    <n v="3"/>
    <n v="25000"/>
    <n v="0.15"/>
    <n v="63750"/>
    <n v="48165.47"/>
    <n v="15584.53"/>
  </r>
  <r>
    <s v="ORD-0297"/>
    <x v="72"/>
    <x v="3"/>
    <s v="Rajasthan"/>
    <x v="1"/>
    <s v="Laptops"/>
    <x v="1"/>
    <x v="5"/>
    <n v="7"/>
    <n v="52000"/>
    <n v="0.1"/>
    <n v="327600"/>
    <n v="272535.26"/>
    <n v="55064.74"/>
  </r>
  <r>
    <s v="ORD-0298"/>
    <x v="79"/>
    <x v="3"/>
    <s v="Gujarat"/>
    <x v="2"/>
    <s v="Chairs"/>
    <x v="9"/>
    <x v="5"/>
    <n v="5"/>
    <n v="6500"/>
    <n v="0"/>
    <n v="32500"/>
    <n v="26212.43"/>
    <n v="6287.57"/>
  </r>
  <r>
    <s v="ORD-0299"/>
    <x v="96"/>
    <x v="2"/>
    <s v="Tamil Nadu"/>
    <x v="0"/>
    <s v="Stationery"/>
    <x v="15"/>
    <x v="3"/>
    <n v="5"/>
    <n v="180"/>
    <n v="0"/>
    <n v="900"/>
    <n v="713.19"/>
    <n v="186.81"/>
  </r>
  <r>
    <s v="ORD-0300"/>
    <x v="198"/>
    <x v="1"/>
    <s v="Jharkhand"/>
    <x v="1"/>
    <s v="Laptops"/>
    <x v="18"/>
    <x v="2"/>
    <n v="2"/>
    <n v="58000"/>
    <n v="0"/>
    <n v="116000"/>
    <n v="97105.24"/>
    <n v="18894.759999999998"/>
  </r>
  <r>
    <s v="ORD-0301"/>
    <x v="199"/>
    <x v="3"/>
    <s v="Goa"/>
    <x v="0"/>
    <s v="Printers"/>
    <x v="17"/>
    <x v="5"/>
    <n v="3"/>
    <n v="14500"/>
    <n v="0.15"/>
    <n v="36975"/>
    <n v="30688.5"/>
    <n v="6286.5"/>
  </r>
  <r>
    <s v="ORD-0302"/>
    <x v="143"/>
    <x v="0"/>
    <s v="Haryana"/>
    <x v="1"/>
    <s v="Mobiles"/>
    <x v="3"/>
    <x v="4"/>
    <n v="1"/>
    <n v="26000"/>
    <n v="0.15"/>
    <n v="22100"/>
    <n v="16165.14"/>
    <n v="5934.86"/>
  </r>
  <r>
    <s v="ORD-0303"/>
    <x v="200"/>
    <x v="1"/>
    <s v="Jharkhand"/>
    <x v="0"/>
    <s v="Printers"/>
    <x v="0"/>
    <x v="2"/>
    <n v="3"/>
    <n v="8500"/>
    <n v="0.1"/>
    <n v="22950"/>
    <n v="14651.08"/>
    <n v="8298.92"/>
  </r>
  <r>
    <s v="ORD-0304"/>
    <x v="91"/>
    <x v="3"/>
    <s v="Gujarat"/>
    <x v="0"/>
    <s v="Printers"/>
    <x v="17"/>
    <x v="5"/>
    <n v="2"/>
    <n v="14500"/>
    <n v="0.1"/>
    <n v="26100"/>
    <n v="20193.8"/>
    <n v="5906.2"/>
  </r>
  <r>
    <s v="ORD-0305"/>
    <x v="198"/>
    <x v="0"/>
    <s v="Delhi"/>
    <x v="1"/>
    <s v="Mobiles"/>
    <x v="3"/>
    <x v="3"/>
    <n v="1"/>
    <n v="26000"/>
    <n v="0.1"/>
    <n v="23400"/>
    <n v="17936.98"/>
    <n v="5463.02"/>
  </r>
  <r>
    <s v="ORD-0306"/>
    <x v="184"/>
    <x v="3"/>
    <s v="Rajasthan"/>
    <x v="1"/>
    <s v="Accessories"/>
    <x v="14"/>
    <x v="2"/>
    <n v="1"/>
    <n v="1200"/>
    <n v="0.05"/>
    <n v="1140"/>
    <n v="831.3"/>
    <n v="308.7"/>
  </r>
  <r>
    <s v="ORD-0307"/>
    <x v="179"/>
    <x v="2"/>
    <s v="Tamil Nadu"/>
    <x v="2"/>
    <s v="Chairs"/>
    <x v="5"/>
    <x v="1"/>
    <n v="2"/>
    <n v="4200"/>
    <n v="0"/>
    <n v="8400"/>
    <n v="5827.1"/>
    <n v="2572.9"/>
  </r>
  <r>
    <s v="ORD-0308"/>
    <x v="201"/>
    <x v="2"/>
    <s v="Karnataka"/>
    <x v="2"/>
    <s v="Chairs"/>
    <x v="13"/>
    <x v="3"/>
    <n v="6"/>
    <n v="10500"/>
    <n v="0"/>
    <n v="63000"/>
    <n v="45984.59"/>
    <n v="17015.41"/>
  </r>
  <r>
    <s v="ORD-0309"/>
    <x v="15"/>
    <x v="3"/>
    <s v="Maharashtra"/>
    <x v="1"/>
    <s v="Mobiles"/>
    <x v="3"/>
    <x v="5"/>
    <n v="2"/>
    <n v="26000"/>
    <n v="0.05"/>
    <n v="49400"/>
    <n v="38678.800000000003"/>
    <n v="10721.2"/>
  </r>
  <r>
    <s v="ORD-0310"/>
    <x v="202"/>
    <x v="0"/>
    <s v="Haryana"/>
    <x v="1"/>
    <s v="Laptops"/>
    <x v="18"/>
    <x v="1"/>
    <n v="7"/>
    <n v="58000"/>
    <n v="0.05"/>
    <n v="385700"/>
    <n v="254319.55"/>
    <n v="131380.45000000001"/>
  </r>
  <r>
    <s v="ORD-0311"/>
    <x v="203"/>
    <x v="1"/>
    <s v="Bihar"/>
    <x v="2"/>
    <s v="Chairs"/>
    <x v="13"/>
    <x v="2"/>
    <n v="6"/>
    <n v="10500"/>
    <n v="0.1"/>
    <n v="56700"/>
    <n v="45457.49"/>
    <n v="11242.51"/>
  </r>
  <r>
    <s v="ORD-0312"/>
    <x v="20"/>
    <x v="2"/>
    <s v="Karnataka"/>
    <x v="0"/>
    <s v="Stationery"/>
    <x v="12"/>
    <x v="0"/>
    <n v="1"/>
    <n v="450"/>
    <n v="0.15"/>
    <n v="382.5"/>
    <n v="242.95"/>
    <n v="139.55000000000001"/>
  </r>
  <r>
    <s v="ORD-0313"/>
    <x v="204"/>
    <x v="2"/>
    <s v="Telangana"/>
    <x v="2"/>
    <s v="Chairs"/>
    <x v="5"/>
    <x v="3"/>
    <n v="1"/>
    <n v="4200"/>
    <n v="0.1"/>
    <n v="3780"/>
    <n v="2510.48"/>
    <n v="1269.52"/>
  </r>
  <r>
    <s v="ORD-0314"/>
    <x v="71"/>
    <x v="2"/>
    <s v="Tamil Nadu"/>
    <x v="2"/>
    <s v="Tables"/>
    <x v="6"/>
    <x v="3"/>
    <n v="4"/>
    <n v="25000"/>
    <n v="0.05"/>
    <n v="95000"/>
    <n v="62046.84"/>
    <n v="32953.160000000003"/>
  </r>
  <r>
    <s v="ORD-0315"/>
    <x v="165"/>
    <x v="0"/>
    <s v="Delhi"/>
    <x v="0"/>
    <s v="Printers"/>
    <x v="0"/>
    <x v="1"/>
    <n v="1"/>
    <n v="8500"/>
    <n v="0.15"/>
    <n v="7225"/>
    <n v="5829"/>
    <n v="1396"/>
  </r>
  <r>
    <s v="ORD-0316"/>
    <x v="145"/>
    <x v="0"/>
    <s v="Delhi"/>
    <x v="0"/>
    <s v="Stationery"/>
    <x v="11"/>
    <x v="3"/>
    <n v="1"/>
    <n v="250"/>
    <n v="0.05"/>
    <n v="237.5"/>
    <n v="184.43"/>
    <n v="53.07"/>
  </r>
  <r>
    <s v="ORD-0317"/>
    <x v="169"/>
    <x v="0"/>
    <s v="Delhi"/>
    <x v="0"/>
    <s v="Printers"/>
    <x v="17"/>
    <x v="3"/>
    <n v="2"/>
    <n v="14500"/>
    <n v="0"/>
    <n v="29000"/>
    <n v="21204.63"/>
    <n v="7795.37"/>
  </r>
  <r>
    <s v="ORD-0318"/>
    <x v="32"/>
    <x v="1"/>
    <s v="West Bengal"/>
    <x v="0"/>
    <s v="Stationery"/>
    <x v="11"/>
    <x v="2"/>
    <n v="3"/>
    <n v="250"/>
    <n v="0.05"/>
    <n v="712.5"/>
    <n v="487.47"/>
    <n v="225.03"/>
  </r>
  <r>
    <s v="ORD-0319"/>
    <x v="79"/>
    <x v="1"/>
    <s v="Odisha"/>
    <x v="2"/>
    <s v="Tables"/>
    <x v="7"/>
    <x v="0"/>
    <n v="2"/>
    <n v="12000"/>
    <n v="0.05"/>
    <n v="22800"/>
    <n v="14818.74"/>
    <n v="7981.26"/>
  </r>
  <r>
    <s v="ORD-0320"/>
    <x v="25"/>
    <x v="0"/>
    <s v="Delhi"/>
    <x v="1"/>
    <s v="Laptops"/>
    <x v="18"/>
    <x v="3"/>
    <n v="6"/>
    <n v="58000"/>
    <n v="0.15"/>
    <n v="295800"/>
    <n v="191253.06"/>
    <n v="104546.94"/>
  </r>
  <r>
    <s v="ORD-0321"/>
    <x v="94"/>
    <x v="3"/>
    <s v="Goa"/>
    <x v="2"/>
    <s v="Tables"/>
    <x v="7"/>
    <x v="4"/>
    <n v="2"/>
    <n v="12000"/>
    <n v="0.05"/>
    <n v="22800"/>
    <n v="18186.91"/>
    <n v="4613.09"/>
  </r>
  <r>
    <s v="ORD-0322"/>
    <x v="119"/>
    <x v="0"/>
    <s v="Delhi"/>
    <x v="2"/>
    <s v="Chairs"/>
    <x v="9"/>
    <x v="2"/>
    <n v="4"/>
    <n v="6500"/>
    <n v="0.1"/>
    <n v="23400"/>
    <n v="16547.87"/>
    <n v="6852.13"/>
  </r>
  <r>
    <s v="ORD-0323"/>
    <x v="205"/>
    <x v="2"/>
    <s v="Telangana"/>
    <x v="1"/>
    <s v="Laptops"/>
    <x v="18"/>
    <x v="3"/>
    <n v="4"/>
    <n v="58000"/>
    <n v="0"/>
    <n v="232000"/>
    <n v="167422.69"/>
    <n v="64577.31"/>
  </r>
  <r>
    <s v="ORD-0324"/>
    <x v="183"/>
    <x v="0"/>
    <s v="Haryana"/>
    <x v="1"/>
    <s v="Laptops"/>
    <x v="1"/>
    <x v="0"/>
    <n v="7"/>
    <n v="52000"/>
    <n v="0.1"/>
    <n v="327600"/>
    <n v="252573.95"/>
    <n v="75026.05"/>
  </r>
  <r>
    <s v="ORD-0325"/>
    <x v="155"/>
    <x v="0"/>
    <s v="Punjab"/>
    <x v="1"/>
    <s v="Laptops"/>
    <x v="1"/>
    <x v="0"/>
    <n v="8"/>
    <n v="52000"/>
    <n v="0.05"/>
    <n v="395200"/>
    <n v="253020.99"/>
    <n v="142179.01"/>
  </r>
  <r>
    <s v="ORD-0326"/>
    <x v="133"/>
    <x v="0"/>
    <s v="Haryana"/>
    <x v="2"/>
    <s v="Chairs"/>
    <x v="9"/>
    <x v="5"/>
    <n v="7"/>
    <n v="6500"/>
    <n v="0.15"/>
    <n v="38675"/>
    <n v="28199.79"/>
    <n v="10475.209999999999"/>
  </r>
  <r>
    <s v="ORD-0327"/>
    <x v="129"/>
    <x v="1"/>
    <s v="Bihar"/>
    <x v="2"/>
    <s v="Chairs"/>
    <x v="9"/>
    <x v="1"/>
    <n v="5"/>
    <n v="6500"/>
    <n v="0.15"/>
    <n v="27625"/>
    <n v="22496.51"/>
    <n v="5128.49"/>
  </r>
  <r>
    <s v="ORD-0328"/>
    <x v="206"/>
    <x v="3"/>
    <s v="Maharashtra"/>
    <x v="2"/>
    <s v="Tables"/>
    <x v="6"/>
    <x v="3"/>
    <n v="1"/>
    <n v="25000"/>
    <n v="0"/>
    <n v="25000"/>
    <n v="17038.77"/>
    <n v="7961.23"/>
  </r>
  <r>
    <s v="ORD-0329"/>
    <x v="154"/>
    <x v="1"/>
    <s v="Bihar"/>
    <x v="0"/>
    <s v="Stationery"/>
    <x v="15"/>
    <x v="5"/>
    <n v="1"/>
    <n v="180"/>
    <n v="0.15"/>
    <n v="153"/>
    <n v="121.18"/>
    <n v="31.82"/>
  </r>
  <r>
    <s v="ORD-0330"/>
    <x v="94"/>
    <x v="1"/>
    <s v="Jharkhand"/>
    <x v="2"/>
    <s v="Tables"/>
    <x v="7"/>
    <x v="1"/>
    <n v="3"/>
    <n v="12000"/>
    <n v="0"/>
    <n v="36000"/>
    <n v="24845.51"/>
    <n v="11154.49"/>
  </r>
  <r>
    <s v="ORD-0331"/>
    <x v="207"/>
    <x v="0"/>
    <s v="Punjab"/>
    <x v="1"/>
    <s v="Mobiles"/>
    <x v="19"/>
    <x v="1"/>
    <n v="4"/>
    <n v="22000"/>
    <n v="0.05"/>
    <n v="83600"/>
    <n v="53673.67"/>
    <n v="29926.33"/>
  </r>
  <r>
    <s v="ORD-0332"/>
    <x v="184"/>
    <x v="3"/>
    <s v="Maharashtra"/>
    <x v="0"/>
    <s v="Stationery"/>
    <x v="12"/>
    <x v="5"/>
    <n v="7"/>
    <n v="450"/>
    <n v="0.1"/>
    <n v="2835"/>
    <n v="2340.9899999999998"/>
    <n v="494.01"/>
  </r>
  <r>
    <s v="ORD-0333"/>
    <x v="208"/>
    <x v="3"/>
    <s v="Gujarat"/>
    <x v="0"/>
    <s v="Printers"/>
    <x v="17"/>
    <x v="5"/>
    <n v="1"/>
    <n v="14500"/>
    <n v="0.1"/>
    <n v="13050"/>
    <n v="10811.44"/>
    <n v="2238.56"/>
  </r>
  <r>
    <s v="ORD-0334"/>
    <x v="71"/>
    <x v="3"/>
    <s v="Gujarat"/>
    <x v="2"/>
    <s v="Tables"/>
    <x v="2"/>
    <x v="3"/>
    <n v="1"/>
    <n v="7000"/>
    <n v="0"/>
    <n v="7000"/>
    <n v="4426.5"/>
    <n v="2573.5"/>
  </r>
  <r>
    <s v="ORD-0335"/>
    <x v="157"/>
    <x v="3"/>
    <s v="Rajasthan"/>
    <x v="0"/>
    <s v="Printers"/>
    <x v="0"/>
    <x v="1"/>
    <n v="4"/>
    <n v="8500"/>
    <n v="0.05"/>
    <n v="32300"/>
    <n v="22447.43"/>
    <n v="9852.57"/>
  </r>
  <r>
    <s v="ORD-0336"/>
    <x v="156"/>
    <x v="2"/>
    <s v="Karnataka"/>
    <x v="1"/>
    <s v="Laptops"/>
    <x v="10"/>
    <x v="2"/>
    <n v="3"/>
    <n v="49000"/>
    <n v="0"/>
    <n v="147000"/>
    <n v="118515.19"/>
    <n v="28484.81"/>
  </r>
  <r>
    <s v="ORD-0337"/>
    <x v="6"/>
    <x v="0"/>
    <s v="Punjab"/>
    <x v="0"/>
    <s v="Printers"/>
    <x v="0"/>
    <x v="1"/>
    <n v="5"/>
    <n v="8500"/>
    <n v="0.1"/>
    <n v="38250"/>
    <n v="24863.24"/>
    <n v="13386.76"/>
  </r>
  <r>
    <s v="ORD-0338"/>
    <x v="209"/>
    <x v="1"/>
    <s v="Jharkhand"/>
    <x v="0"/>
    <s v="Printers"/>
    <x v="0"/>
    <x v="2"/>
    <n v="6"/>
    <n v="8500"/>
    <n v="0.05"/>
    <n v="48450"/>
    <n v="37132.9"/>
    <n v="11317.1"/>
  </r>
  <r>
    <s v="ORD-0339"/>
    <x v="114"/>
    <x v="1"/>
    <s v="Odisha"/>
    <x v="0"/>
    <s v="Printers"/>
    <x v="0"/>
    <x v="0"/>
    <n v="1"/>
    <n v="8500"/>
    <n v="0.15"/>
    <n v="7225"/>
    <n v="5831.78"/>
    <n v="1393.22"/>
  </r>
  <r>
    <s v="ORD-0340"/>
    <x v="15"/>
    <x v="0"/>
    <s v="Delhi"/>
    <x v="0"/>
    <s v="Printers"/>
    <x v="0"/>
    <x v="2"/>
    <n v="2"/>
    <n v="8500"/>
    <n v="0.15"/>
    <n v="14450"/>
    <n v="9406.11"/>
    <n v="5043.8900000000003"/>
  </r>
  <r>
    <s v="ORD-0341"/>
    <x v="48"/>
    <x v="3"/>
    <s v="Maharashtra"/>
    <x v="2"/>
    <s v="Chairs"/>
    <x v="5"/>
    <x v="4"/>
    <n v="6"/>
    <n v="4200"/>
    <n v="0.15"/>
    <n v="21420"/>
    <n v="13334.1"/>
    <n v="8085.9"/>
  </r>
  <r>
    <s v="ORD-0342"/>
    <x v="210"/>
    <x v="3"/>
    <s v="Rajasthan"/>
    <x v="2"/>
    <s v="Tables"/>
    <x v="2"/>
    <x v="2"/>
    <n v="1"/>
    <n v="7000"/>
    <n v="0"/>
    <n v="7000"/>
    <n v="4934.34"/>
    <n v="2065.66"/>
  </r>
  <r>
    <s v="ORD-0343"/>
    <x v="51"/>
    <x v="3"/>
    <s v="Goa"/>
    <x v="2"/>
    <s v="Tables"/>
    <x v="7"/>
    <x v="5"/>
    <n v="7"/>
    <n v="12000"/>
    <n v="0"/>
    <n v="84000"/>
    <n v="67396.350000000006"/>
    <n v="16603.650000000001"/>
  </r>
  <r>
    <s v="ORD-0344"/>
    <x v="193"/>
    <x v="3"/>
    <s v="Gujarat"/>
    <x v="2"/>
    <s v="Chairs"/>
    <x v="9"/>
    <x v="1"/>
    <n v="1"/>
    <n v="6500"/>
    <n v="0.1"/>
    <n v="5850"/>
    <n v="3963.07"/>
    <n v="1886.93"/>
  </r>
  <r>
    <s v="ORD-0345"/>
    <x v="211"/>
    <x v="0"/>
    <s v="Punjab"/>
    <x v="1"/>
    <s v="Mobiles"/>
    <x v="3"/>
    <x v="2"/>
    <n v="2"/>
    <n v="26000"/>
    <n v="0"/>
    <n v="52000"/>
    <n v="36106.15"/>
    <n v="15893.85"/>
  </r>
  <r>
    <s v="ORD-0346"/>
    <x v="189"/>
    <x v="1"/>
    <s v="West Bengal"/>
    <x v="2"/>
    <s v="Chairs"/>
    <x v="5"/>
    <x v="3"/>
    <n v="3"/>
    <n v="4200"/>
    <n v="0"/>
    <n v="12600"/>
    <n v="8092.69"/>
    <n v="4507.3100000000004"/>
  </r>
  <r>
    <s v="ORD-0347"/>
    <x v="212"/>
    <x v="3"/>
    <s v="Goa"/>
    <x v="0"/>
    <s v="Printers"/>
    <x v="17"/>
    <x v="1"/>
    <n v="4"/>
    <n v="14500"/>
    <n v="0"/>
    <n v="58000"/>
    <n v="36593.35"/>
    <n v="21406.65"/>
  </r>
  <r>
    <s v="ORD-0348"/>
    <x v="20"/>
    <x v="1"/>
    <s v="Bihar"/>
    <x v="1"/>
    <s v="Mobiles"/>
    <x v="3"/>
    <x v="3"/>
    <n v="2"/>
    <n v="26000"/>
    <n v="0.1"/>
    <n v="46800"/>
    <n v="37498.85"/>
    <n v="9301.15"/>
  </r>
  <r>
    <s v="ORD-0349"/>
    <x v="213"/>
    <x v="1"/>
    <s v="Bihar"/>
    <x v="1"/>
    <s v="Laptops"/>
    <x v="1"/>
    <x v="0"/>
    <n v="5"/>
    <n v="52000"/>
    <n v="0"/>
    <n v="260000"/>
    <n v="188288.24"/>
    <n v="71711.759999999995"/>
  </r>
  <r>
    <s v="ORD-0350"/>
    <x v="190"/>
    <x v="2"/>
    <s v="Kerala"/>
    <x v="2"/>
    <s v="Tables"/>
    <x v="6"/>
    <x v="1"/>
    <n v="2"/>
    <n v="25000"/>
    <n v="0.15"/>
    <n v="42500"/>
    <n v="28078.639999999999"/>
    <n v="14421.36"/>
  </r>
  <r>
    <s v="ORD-0351"/>
    <x v="129"/>
    <x v="2"/>
    <s v="Tamil Nadu"/>
    <x v="2"/>
    <s v="Chairs"/>
    <x v="13"/>
    <x v="3"/>
    <n v="8"/>
    <n v="10500"/>
    <n v="0.1"/>
    <n v="75600"/>
    <n v="50634.86"/>
    <n v="24965.14"/>
  </r>
  <r>
    <s v="ORD-0352"/>
    <x v="214"/>
    <x v="0"/>
    <s v="Delhi"/>
    <x v="0"/>
    <s v="Stationery"/>
    <x v="12"/>
    <x v="2"/>
    <n v="6"/>
    <n v="450"/>
    <n v="0.15"/>
    <n v="2295"/>
    <n v="1913.01"/>
    <n v="381.99"/>
  </r>
  <r>
    <s v="ORD-0353"/>
    <x v="18"/>
    <x v="3"/>
    <s v="Rajasthan"/>
    <x v="2"/>
    <s v="Tables"/>
    <x v="6"/>
    <x v="2"/>
    <n v="8"/>
    <n v="25000"/>
    <n v="0.05"/>
    <n v="190000"/>
    <n v="137707.76"/>
    <n v="52292.24"/>
  </r>
  <r>
    <s v="ORD-0354"/>
    <x v="91"/>
    <x v="1"/>
    <s v="West Bengal"/>
    <x v="0"/>
    <s v="Stationery"/>
    <x v="12"/>
    <x v="3"/>
    <n v="3"/>
    <n v="450"/>
    <n v="0.05"/>
    <n v="1282.5"/>
    <n v="1069.45"/>
    <n v="213.05"/>
  </r>
  <r>
    <s v="ORD-0355"/>
    <x v="215"/>
    <x v="3"/>
    <s v="Rajasthan"/>
    <x v="2"/>
    <s v="Chairs"/>
    <x v="5"/>
    <x v="3"/>
    <n v="4"/>
    <n v="4200"/>
    <n v="0.05"/>
    <n v="15960"/>
    <n v="12823.92"/>
    <n v="3136.08"/>
  </r>
  <r>
    <s v="ORD-0356"/>
    <x v="216"/>
    <x v="2"/>
    <s v="Karnataka"/>
    <x v="1"/>
    <s v="Mobiles"/>
    <x v="19"/>
    <x v="3"/>
    <n v="6"/>
    <n v="22000"/>
    <n v="0.1"/>
    <n v="118800"/>
    <n v="87238.57"/>
    <n v="31561.43"/>
  </r>
  <r>
    <s v="ORD-0357"/>
    <x v="69"/>
    <x v="1"/>
    <s v="West Bengal"/>
    <x v="2"/>
    <s v="Chairs"/>
    <x v="9"/>
    <x v="5"/>
    <n v="2"/>
    <n v="6500"/>
    <n v="0"/>
    <n v="13000"/>
    <n v="9669.2800000000007"/>
    <n v="3330.72"/>
  </r>
  <r>
    <s v="ORD-0358"/>
    <x v="167"/>
    <x v="2"/>
    <s v="Telangana"/>
    <x v="2"/>
    <s v="Tables"/>
    <x v="7"/>
    <x v="2"/>
    <n v="8"/>
    <n v="12000"/>
    <n v="0.15"/>
    <n v="81600"/>
    <n v="51264.58"/>
    <n v="30335.42"/>
  </r>
  <r>
    <s v="ORD-0359"/>
    <x v="102"/>
    <x v="1"/>
    <s v="Bihar"/>
    <x v="0"/>
    <s v="Printers"/>
    <x v="0"/>
    <x v="3"/>
    <n v="6"/>
    <n v="8500"/>
    <n v="0.05"/>
    <n v="48450"/>
    <n v="30564.39"/>
    <n v="17885.61"/>
  </r>
  <r>
    <s v="ORD-0360"/>
    <x v="47"/>
    <x v="2"/>
    <s v="Telangana"/>
    <x v="1"/>
    <s v="Mobiles"/>
    <x v="8"/>
    <x v="1"/>
    <n v="5"/>
    <n v="31000"/>
    <n v="0.15"/>
    <n v="131750"/>
    <n v="106560.94"/>
    <n v="25189.06"/>
  </r>
  <r>
    <s v="ORD-0361"/>
    <x v="217"/>
    <x v="0"/>
    <s v="Delhi"/>
    <x v="1"/>
    <s v="Mobiles"/>
    <x v="19"/>
    <x v="3"/>
    <n v="6"/>
    <n v="22000"/>
    <n v="0.1"/>
    <n v="118800"/>
    <n v="92703.9"/>
    <n v="26096.1"/>
  </r>
  <r>
    <s v="ORD-0362"/>
    <x v="218"/>
    <x v="0"/>
    <s v="Delhi"/>
    <x v="2"/>
    <s v="Chairs"/>
    <x v="13"/>
    <x v="2"/>
    <n v="8"/>
    <n v="10500"/>
    <n v="0.1"/>
    <n v="75600"/>
    <n v="60527.16"/>
    <n v="15072.84"/>
  </r>
  <r>
    <s v="ORD-0363"/>
    <x v="219"/>
    <x v="3"/>
    <s v="Rajasthan"/>
    <x v="2"/>
    <s v="Tables"/>
    <x v="2"/>
    <x v="5"/>
    <n v="1"/>
    <n v="7000"/>
    <n v="0.05"/>
    <n v="6650"/>
    <n v="4405.01"/>
    <n v="2244.9899999999998"/>
  </r>
  <r>
    <s v="ORD-0364"/>
    <x v="56"/>
    <x v="0"/>
    <s v="Delhi"/>
    <x v="1"/>
    <s v="Mobiles"/>
    <x v="3"/>
    <x v="1"/>
    <n v="4"/>
    <n v="26000"/>
    <n v="0.1"/>
    <n v="93600"/>
    <n v="65617.100000000006"/>
    <n v="27982.9"/>
  </r>
  <r>
    <s v="ORD-0365"/>
    <x v="186"/>
    <x v="1"/>
    <s v="West Bengal"/>
    <x v="0"/>
    <s v="Stationery"/>
    <x v="12"/>
    <x v="1"/>
    <n v="8"/>
    <n v="450"/>
    <n v="0.15"/>
    <n v="3060"/>
    <n v="2016.75"/>
    <n v="1043.25"/>
  </r>
  <r>
    <s v="ORD-0366"/>
    <x v="220"/>
    <x v="2"/>
    <s v="Telangana"/>
    <x v="1"/>
    <s v="Mobiles"/>
    <x v="19"/>
    <x v="2"/>
    <n v="2"/>
    <n v="22000"/>
    <n v="0.1"/>
    <n v="39600"/>
    <n v="24791.15"/>
    <n v="14808.85"/>
  </r>
  <r>
    <s v="ORD-0367"/>
    <x v="205"/>
    <x v="3"/>
    <s v="Gujarat"/>
    <x v="1"/>
    <s v="Accessories"/>
    <x v="14"/>
    <x v="2"/>
    <n v="4"/>
    <n v="1200"/>
    <n v="0.1"/>
    <n v="4320"/>
    <n v="3297.67"/>
    <n v="1022.33"/>
  </r>
  <r>
    <s v="ORD-0368"/>
    <x v="221"/>
    <x v="0"/>
    <s v="Haryana"/>
    <x v="2"/>
    <s v="Chairs"/>
    <x v="5"/>
    <x v="0"/>
    <n v="1"/>
    <n v="4200"/>
    <n v="0.05"/>
    <n v="3990"/>
    <n v="2695.35"/>
    <n v="1294.6500000000001"/>
  </r>
  <r>
    <s v="ORD-0369"/>
    <x v="222"/>
    <x v="2"/>
    <s v="Kerala"/>
    <x v="2"/>
    <s v="Tables"/>
    <x v="7"/>
    <x v="1"/>
    <n v="4"/>
    <n v="12000"/>
    <n v="0.15"/>
    <n v="40800"/>
    <n v="28008.05"/>
    <n v="12791.95"/>
  </r>
  <r>
    <s v="ORD-0370"/>
    <x v="223"/>
    <x v="1"/>
    <s v="West Bengal"/>
    <x v="1"/>
    <s v="Accessories"/>
    <x v="16"/>
    <x v="1"/>
    <n v="5"/>
    <n v="2500"/>
    <n v="0.1"/>
    <n v="11250"/>
    <n v="8668.92"/>
    <n v="2581.08"/>
  </r>
  <r>
    <s v="ORD-0371"/>
    <x v="224"/>
    <x v="0"/>
    <s v="Punjab"/>
    <x v="2"/>
    <s v="Tables"/>
    <x v="7"/>
    <x v="1"/>
    <n v="5"/>
    <n v="12000"/>
    <n v="0.05"/>
    <n v="57000"/>
    <n v="37220.11"/>
    <n v="19779.89"/>
  </r>
  <r>
    <s v="ORD-0372"/>
    <x v="225"/>
    <x v="0"/>
    <s v="Uttar Pradesh"/>
    <x v="0"/>
    <s v="Printers"/>
    <x v="0"/>
    <x v="2"/>
    <n v="1"/>
    <n v="8500"/>
    <n v="0.15"/>
    <n v="7225"/>
    <n v="6064.98"/>
    <n v="1160.02"/>
  </r>
  <r>
    <s v="ORD-0373"/>
    <x v="216"/>
    <x v="1"/>
    <s v="Jharkhand"/>
    <x v="2"/>
    <s v="Chairs"/>
    <x v="5"/>
    <x v="2"/>
    <n v="4"/>
    <n v="4200"/>
    <n v="0.1"/>
    <n v="15120"/>
    <n v="11791.2"/>
    <n v="3328.8"/>
  </r>
  <r>
    <s v="ORD-0374"/>
    <x v="106"/>
    <x v="1"/>
    <s v="Odisha"/>
    <x v="0"/>
    <s v="Printers"/>
    <x v="0"/>
    <x v="2"/>
    <n v="3"/>
    <n v="8500"/>
    <n v="0.1"/>
    <n v="22950"/>
    <n v="14721.8"/>
    <n v="8228.2000000000007"/>
  </r>
  <r>
    <s v="ORD-0375"/>
    <x v="226"/>
    <x v="2"/>
    <s v="Tamil Nadu"/>
    <x v="0"/>
    <s v="Printers"/>
    <x v="0"/>
    <x v="0"/>
    <n v="6"/>
    <n v="8500"/>
    <n v="0.05"/>
    <n v="48450"/>
    <n v="37971.53"/>
    <n v="10478.469999999999"/>
  </r>
  <r>
    <s v="ORD-0376"/>
    <x v="145"/>
    <x v="1"/>
    <s v="Odisha"/>
    <x v="2"/>
    <s v="Tables"/>
    <x v="6"/>
    <x v="1"/>
    <n v="8"/>
    <n v="25000"/>
    <n v="0"/>
    <n v="200000"/>
    <n v="144703.60999999999"/>
    <n v="55296.39"/>
  </r>
  <r>
    <s v="ORD-0377"/>
    <x v="107"/>
    <x v="0"/>
    <s v="Uttar Pradesh"/>
    <x v="1"/>
    <s v="Accessories"/>
    <x v="14"/>
    <x v="2"/>
    <n v="7"/>
    <n v="1200"/>
    <n v="0.1"/>
    <n v="7560"/>
    <n v="5374.28"/>
    <n v="2185.7199999999998"/>
  </r>
  <r>
    <s v="ORD-0378"/>
    <x v="227"/>
    <x v="3"/>
    <s v="Gujarat"/>
    <x v="2"/>
    <s v="Tables"/>
    <x v="6"/>
    <x v="3"/>
    <n v="3"/>
    <n v="25000"/>
    <n v="0.1"/>
    <n v="67500"/>
    <n v="54656.55"/>
    <n v="12843.45"/>
  </r>
  <r>
    <s v="ORD-0379"/>
    <x v="135"/>
    <x v="0"/>
    <s v="Uttar Pradesh"/>
    <x v="2"/>
    <s v="Chairs"/>
    <x v="13"/>
    <x v="2"/>
    <n v="1"/>
    <n v="10500"/>
    <n v="0"/>
    <n v="10500"/>
    <n v="7554.24"/>
    <n v="2945.76"/>
  </r>
  <r>
    <s v="ORD-0380"/>
    <x v="210"/>
    <x v="3"/>
    <s v="Gujarat"/>
    <x v="2"/>
    <s v="Chairs"/>
    <x v="9"/>
    <x v="5"/>
    <n v="7"/>
    <n v="6500"/>
    <n v="0.15"/>
    <n v="38675"/>
    <n v="27410.77"/>
    <n v="11264.23"/>
  </r>
  <r>
    <s v="ORD-0381"/>
    <x v="70"/>
    <x v="1"/>
    <s v="West Bengal"/>
    <x v="1"/>
    <s v="Accessories"/>
    <x v="14"/>
    <x v="2"/>
    <n v="6"/>
    <n v="1200"/>
    <n v="0"/>
    <n v="7200"/>
    <n v="5876.94"/>
    <n v="1323.06"/>
  </r>
  <r>
    <s v="ORD-0382"/>
    <x v="14"/>
    <x v="3"/>
    <s v="Rajasthan"/>
    <x v="0"/>
    <s v="Stationery"/>
    <x v="15"/>
    <x v="2"/>
    <n v="4"/>
    <n v="180"/>
    <n v="0.05"/>
    <n v="684"/>
    <n v="528.44000000000005"/>
    <n v="155.56"/>
  </r>
  <r>
    <s v="ORD-0383"/>
    <x v="228"/>
    <x v="2"/>
    <s v="Tamil Nadu"/>
    <x v="1"/>
    <s v="Mobiles"/>
    <x v="19"/>
    <x v="5"/>
    <n v="5"/>
    <n v="22000"/>
    <n v="0.05"/>
    <n v="104500"/>
    <n v="66290.95"/>
    <n v="38209.050000000003"/>
  </r>
  <r>
    <s v="ORD-0384"/>
    <x v="5"/>
    <x v="2"/>
    <s v="Telangana"/>
    <x v="2"/>
    <s v="Tables"/>
    <x v="7"/>
    <x v="2"/>
    <n v="3"/>
    <n v="12000"/>
    <n v="0.1"/>
    <n v="32400"/>
    <n v="27188.48"/>
    <n v="5211.5200000000004"/>
  </r>
  <r>
    <s v="ORD-0385"/>
    <x v="163"/>
    <x v="2"/>
    <s v="Tamil Nadu"/>
    <x v="1"/>
    <s v="Mobiles"/>
    <x v="3"/>
    <x v="0"/>
    <n v="4"/>
    <n v="26000"/>
    <n v="0.05"/>
    <n v="98800"/>
    <n v="65846.429999999993"/>
    <n v="32953.57"/>
  </r>
  <r>
    <s v="ORD-0386"/>
    <x v="166"/>
    <x v="3"/>
    <s v="Rajasthan"/>
    <x v="2"/>
    <s v="Chairs"/>
    <x v="13"/>
    <x v="2"/>
    <n v="5"/>
    <n v="10500"/>
    <n v="0"/>
    <n v="52500"/>
    <n v="39409.82"/>
    <n v="13090.18"/>
  </r>
  <r>
    <s v="ORD-0387"/>
    <x v="146"/>
    <x v="0"/>
    <s v="Haryana"/>
    <x v="1"/>
    <s v="Accessories"/>
    <x v="14"/>
    <x v="3"/>
    <n v="8"/>
    <n v="1200"/>
    <n v="0.15"/>
    <n v="8160"/>
    <n v="5281.08"/>
    <n v="2878.92"/>
  </r>
  <r>
    <s v="ORD-0388"/>
    <x v="131"/>
    <x v="1"/>
    <s v="Bihar"/>
    <x v="1"/>
    <s v="Accessories"/>
    <x v="16"/>
    <x v="2"/>
    <n v="1"/>
    <n v="2500"/>
    <n v="0.1"/>
    <n v="2250"/>
    <n v="1603.33"/>
    <n v="646.66999999999996"/>
  </r>
  <r>
    <s v="ORD-0389"/>
    <x v="167"/>
    <x v="2"/>
    <s v="Tamil Nadu"/>
    <x v="2"/>
    <s v="Chairs"/>
    <x v="5"/>
    <x v="2"/>
    <n v="2"/>
    <n v="4200"/>
    <n v="0.1"/>
    <n v="7560"/>
    <n v="4876.83"/>
    <n v="2683.17"/>
  </r>
  <r>
    <s v="ORD-0390"/>
    <x v="117"/>
    <x v="1"/>
    <s v="Bihar"/>
    <x v="0"/>
    <s v="Stationery"/>
    <x v="11"/>
    <x v="5"/>
    <n v="4"/>
    <n v="250"/>
    <n v="0.1"/>
    <n v="900"/>
    <n v="697.28"/>
    <n v="202.72"/>
  </r>
  <r>
    <s v="ORD-0391"/>
    <x v="229"/>
    <x v="3"/>
    <s v="Rajasthan"/>
    <x v="0"/>
    <s v="Printers"/>
    <x v="0"/>
    <x v="2"/>
    <n v="8"/>
    <n v="8500"/>
    <n v="0.1"/>
    <n v="61200"/>
    <n v="41101.379999999997"/>
    <n v="20098.62"/>
  </r>
  <r>
    <s v="ORD-0392"/>
    <x v="69"/>
    <x v="0"/>
    <s v="Haryana"/>
    <x v="0"/>
    <s v="Printers"/>
    <x v="0"/>
    <x v="4"/>
    <n v="2"/>
    <n v="8500"/>
    <n v="0"/>
    <n v="17000"/>
    <n v="13923.87"/>
    <n v="3076.13"/>
  </r>
  <r>
    <s v="ORD-0393"/>
    <x v="230"/>
    <x v="3"/>
    <s v="Goa"/>
    <x v="2"/>
    <s v="Tables"/>
    <x v="7"/>
    <x v="4"/>
    <n v="2"/>
    <n v="12000"/>
    <n v="0.05"/>
    <n v="22800"/>
    <n v="18520.689999999999"/>
    <n v="4279.3100000000004"/>
  </r>
  <r>
    <s v="ORD-0394"/>
    <x v="231"/>
    <x v="2"/>
    <s v="Telangana"/>
    <x v="2"/>
    <s v="Chairs"/>
    <x v="9"/>
    <x v="4"/>
    <n v="1"/>
    <n v="6500"/>
    <n v="0.05"/>
    <n v="6175"/>
    <n v="4729.67"/>
    <n v="1445.33"/>
  </r>
  <r>
    <s v="ORD-0395"/>
    <x v="232"/>
    <x v="2"/>
    <s v="Telangana"/>
    <x v="2"/>
    <s v="Tables"/>
    <x v="6"/>
    <x v="4"/>
    <n v="6"/>
    <n v="25000"/>
    <n v="0.1"/>
    <n v="135000"/>
    <n v="89131.22"/>
    <n v="45868.78"/>
  </r>
  <r>
    <s v="ORD-0396"/>
    <x v="233"/>
    <x v="1"/>
    <s v="Jharkhand"/>
    <x v="2"/>
    <s v="Tables"/>
    <x v="6"/>
    <x v="3"/>
    <n v="7"/>
    <n v="25000"/>
    <n v="0.05"/>
    <n v="166250"/>
    <n v="107210.04"/>
    <n v="59039.96"/>
  </r>
  <r>
    <s v="ORD-0397"/>
    <x v="24"/>
    <x v="0"/>
    <s v="Delhi"/>
    <x v="1"/>
    <s v="Mobiles"/>
    <x v="19"/>
    <x v="3"/>
    <n v="8"/>
    <n v="22000"/>
    <n v="0.05"/>
    <n v="167200"/>
    <n v="126150.91"/>
    <n v="41049.089999999997"/>
  </r>
  <r>
    <s v="ORD-0398"/>
    <x v="94"/>
    <x v="0"/>
    <s v="Delhi"/>
    <x v="2"/>
    <s v="Tables"/>
    <x v="2"/>
    <x v="3"/>
    <n v="8"/>
    <n v="7000"/>
    <n v="0"/>
    <n v="56000"/>
    <n v="35500.300000000003"/>
    <n v="20499.7"/>
  </r>
  <r>
    <s v="ORD-0399"/>
    <x v="124"/>
    <x v="2"/>
    <s v="Karnataka"/>
    <x v="0"/>
    <s v="Stationery"/>
    <x v="15"/>
    <x v="1"/>
    <n v="2"/>
    <n v="180"/>
    <n v="0.15"/>
    <n v="306"/>
    <n v="234.27"/>
    <n v="71.73"/>
  </r>
  <r>
    <s v="ORD-0400"/>
    <x v="36"/>
    <x v="1"/>
    <s v="Odisha"/>
    <x v="0"/>
    <s v="Printers"/>
    <x v="0"/>
    <x v="5"/>
    <n v="1"/>
    <n v="8500"/>
    <n v="0"/>
    <n v="8500"/>
    <n v="6473.16"/>
    <n v="2026.84"/>
  </r>
  <r>
    <s v="ORD-0401"/>
    <x v="209"/>
    <x v="1"/>
    <s v="Jharkhand"/>
    <x v="1"/>
    <s v="Laptops"/>
    <x v="18"/>
    <x v="1"/>
    <n v="4"/>
    <n v="58000"/>
    <n v="0.1"/>
    <n v="208800"/>
    <n v="174020.58"/>
    <n v="34779.42"/>
  </r>
  <r>
    <s v="ORD-0402"/>
    <x v="205"/>
    <x v="3"/>
    <s v="Goa"/>
    <x v="2"/>
    <s v="Chairs"/>
    <x v="9"/>
    <x v="3"/>
    <n v="8"/>
    <n v="6500"/>
    <n v="0.15"/>
    <n v="44200"/>
    <n v="28259.91"/>
    <n v="15940.09"/>
  </r>
  <r>
    <s v="ORD-0403"/>
    <x v="9"/>
    <x v="1"/>
    <s v="Odisha"/>
    <x v="1"/>
    <s v="Mobiles"/>
    <x v="19"/>
    <x v="2"/>
    <n v="1"/>
    <n v="22000"/>
    <n v="0"/>
    <n v="22000"/>
    <n v="15592.65"/>
    <n v="6407.35"/>
  </r>
  <r>
    <s v="ORD-0404"/>
    <x v="203"/>
    <x v="0"/>
    <s v="Haryana"/>
    <x v="0"/>
    <s v="Printers"/>
    <x v="0"/>
    <x v="2"/>
    <n v="8"/>
    <n v="8500"/>
    <n v="0.1"/>
    <n v="61200"/>
    <n v="42836.04"/>
    <n v="18363.96"/>
  </r>
  <r>
    <s v="ORD-0405"/>
    <x v="234"/>
    <x v="3"/>
    <s v="Goa"/>
    <x v="2"/>
    <s v="Tables"/>
    <x v="6"/>
    <x v="2"/>
    <n v="6"/>
    <n v="25000"/>
    <n v="0.15"/>
    <n v="127500"/>
    <n v="82248.36"/>
    <n v="45251.64"/>
  </r>
  <r>
    <s v="ORD-0406"/>
    <x v="96"/>
    <x v="3"/>
    <s v="Rajasthan"/>
    <x v="2"/>
    <s v="Tables"/>
    <x v="6"/>
    <x v="1"/>
    <n v="6"/>
    <n v="25000"/>
    <n v="0"/>
    <n v="150000"/>
    <n v="94510.68"/>
    <n v="55489.32"/>
  </r>
  <r>
    <s v="ORD-0407"/>
    <x v="235"/>
    <x v="1"/>
    <s v="Bihar"/>
    <x v="0"/>
    <s v="Printers"/>
    <x v="0"/>
    <x v="1"/>
    <n v="4"/>
    <n v="8500"/>
    <n v="0.05"/>
    <n v="32300"/>
    <n v="20884.02"/>
    <n v="11415.98"/>
  </r>
  <r>
    <s v="ORD-0408"/>
    <x v="236"/>
    <x v="3"/>
    <s v="Goa"/>
    <x v="1"/>
    <s v="Accessories"/>
    <x v="4"/>
    <x v="4"/>
    <n v="7"/>
    <n v="1800"/>
    <n v="0"/>
    <n v="12600"/>
    <n v="10380.61"/>
    <n v="2219.39"/>
  </r>
  <r>
    <s v="ORD-0409"/>
    <x v="237"/>
    <x v="0"/>
    <s v="Uttar Pradesh"/>
    <x v="2"/>
    <s v="Chairs"/>
    <x v="13"/>
    <x v="4"/>
    <n v="1"/>
    <n v="10500"/>
    <n v="0.15"/>
    <n v="8925"/>
    <n v="7180.52"/>
    <n v="1744.48"/>
  </r>
  <r>
    <s v="ORD-0410"/>
    <x v="67"/>
    <x v="3"/>
    <s v="Gujarat"/>
    <x v="0"/>
    <s v="Stationery"/>
    <x v="12"/>
    <x v="3"/>
    <n v="6"/>
    <n v="450"/>
    <n v="0.15"/>
    <n v="2295"/>
    <n v="1634.28"/>
    <n v="660.72"/>
  </r>
  <r>
    <s v="ORD-0411"/>
    <x v="238"/>
    <x v="3"/>
    <s v="Maharashtra"/>
    <x v="2"/>
    <s v="Tables"/>
    <x v="7"/>
    <x v="3"/>
    <n v="3"/>
    <n v="12000"/>
    <n v="0.05"/>
    <n v="34200"/>
    <n v="24309.5"/>
    <n v="9890.5"/>
  </r>
  <r>
    <s v="ORD-0412"/>
    <x v="150"/>
    <x v="2"/>
    <s v="Telangana"/>
    <x v="0"/>
    <s v="Stationery"/>
    <x v="12"/>
    <x v="0"/>
    <n v="5"/>
    <n v="450"/>
    <n v="0.1"/>
    <n v="2025"/>
    <n v="1665.89"/>
    <n v="359.11"/>
  </r>
  <r>
    <s v="ORD-0413"/>
    <x v="196"/>
    <x v="3"/>
    <s v="Maharashtra"/>
    <x v="0"/>
    <s v="Stationery"/>
    <x v="11"/>
    <x v="5"/>
    <n v="8"/>
    <n v="250"/>
    <n v="0.15"/>
    <n v="1700"/>
    <n v="1306.17"/>
    <n v="393.83"/>
  </r>
  <r>
    <s v="ORD-0414"/>
    <x v="172"/>
    <x v="2"/>
    <s v="Kerala"/>
    <x v="1"/>
    <s v="Accessories"/>
    <x v="14"/>
    <x v="4"/>
    <n v="7"/>
    <n v="1200"/>
    <n v="0.05"/>
    <n v="7980"/>
    <n v="5040.76"/>
    <n v="2939.24"/>
  </r>
  <r>
    <s v="ORD-0415"/>
    <x v="8"/>
    <x v="3"/>
    <s v="Maharashtra"/>
    <x v="1"/>
    <s v="Mobiles"/>
    <x v="19"/>
    <x v="1"/>
    <n v="3"/>
    <n v="22000"/>
    <n v="0"/>
    <n v="66000"/>
    <n v="50947.44"/>
    <n v="15052.56"/>
  </r>
  <r>
    <s v="ORD-0416"/>
    <x v="229"/>
    <x v="3"/>
    <s v="Rajasthan"/>
    <x v="2"/>
    <s v="Tables"/>
    <x v="2"/>
    <x v="5"/>
    <n v="4"/>
    <n v="7000"/>
    <n v="0.15"/>
    <n v="23800"/>
    <n v="16000.05"/>
    <n v="7799.95"/>
  </r>
  <r>
    <s v="ORD-0417"/>
    <x v="24"/>
    <x v="2"/>
    <s v="Karnataka"/>
    <x v="2"/>
    <s v="Tables"/>
    <x v="7"/>
    <x v="2"/>
    <n v="6"/>
    <n v="12000"/>
    <n v="0"/>
    <n v="72000"/>
    <n v="44845.37"/>
    <n v="27154.63"/>
  </r>
  <r>
    <s v="ORD-0418"/>
    <x v="31"/>
    <x v="3"/>
    <s v="Goa"/>
    <x v="1"/>
    <s v="Accessories"/>
    <x v="16"/>
    <x v="2"/>
    <n v="6"/>
    <n v="2500"/>
    <n v="0.05"/>
    <n v="14250"/>
    <n v="11268.22"/>
    <n v="2981.78"/>
  </r>
  <r>
    <s v="ORD-0419"/>
    <x v="239"/>
    <x v="2"/>
    <s v="Kerala"/>
    <x v="1"/>
    <s v="Accessories"/>
    <x v="14"/>
    <x v="0"/>
    <n v="3"/>
    <n v="1200"/>
    <n v="0"/>
    <n v="3600"/>
    <n v="2530.7399999999998"/>
    <n v="1069.26"/>
  </r>
  <r>
    <s v="ORD-0420"/>
    <x v="201"/>
    <x v="2"/>
    <s v="Telangana"/>
    <x v="1"/>
    <s v="Laptops"/>
    <x v="10"/>
    <x v="1"/>
    <n v="1"/>
    <n v="49000"/>
    <n v="0.1"/>
    <n v="44100"/>
    <n v="31866.35"/>
    <n v="12233.65"/>
  </r>
  <r>
    <s v="ORD-0421"/>
    <x v="35"/>
    <x v="0"/>
    <s v="Delhi"/>
    <x v="2"/>
    <s v="Chairs"/>
    <x v="5"/>
    <x v="5"/>
    <n v="5"/>
    <n v="4200"/>
    <n v="0.15"/>
    <n v="17850"/>
    <n v="14168.97"/>
    <n v="3681.03"/>
  </r>
  <r>
    <s v="ORD-0422"/>
    <x v="16"/>
    <x v="2"/>
    <s v="Karnataka"/>
    <x v="0"/>
    <s v="Printers"/>
    <x v="0"/>
    <x v="0"/>
    <n v="2"/>
    <n v="8500"/>
    <n v="0.05"/>
    <n v="16150"/>
    <n v="11490.8"/>
    <n v="4659.2"/>
  </r>
  <r>
    <s v="ORD-0423"/>
    <x v="240"/>
    <x v="1"/>
    <s v="West Bengal"/>
    <x v="2"/>
    <s v="Chairs"/>
    <x v="9"/>
    <x v="2"/>
    <n v="6"/>
    <n v="6500"/>
    <n v="0.1"/>
    <n v="35100"/>
    <n v="24548.080000000002"/>
    <n v="10551.92"/>
  </r>
  <r>
    <s v="ORD-0424"/>
    <x v="241"/>
    <x v="1"/>
    <s v="West Bengal"/>
    <x v="1"/>
    <s v="Accessories"/>
    <x v="4"/>
    <x v="3"/>
    <n v="4"/>
    <n v="1800"/>
    <n v="0.05"/>
    <n v="6840"/>
    <n v="5683.75"/>
    <n v="1156.25"/>
  </r>
  <r>
    <s v="ORD-0425"/>
    <x v="138"/>
    <x v="2"/>
    <s v="Kerala"/>
    <x v="1"/>
    <s v="Mobiles"/>
    <x v="8"/>
    <x v="5"/>
    <n v="5"/>
    <n v="31000"/>
    <n v="0"/>
    <n v="155000"/>
    <n v="127176.56"/>
    <n v="27823.439999999999"/>
  </r>
  <r>
    <s v="ORD-0426"/>
    <x v="242"/>
    <x v="1"/>
    <s v="Jharkhand"/>
    <x v="1"/>
    <s v="Mobiles"/>
    <x v="19"/>
    <x v="0"/>
    <n v="6"/>
    <n v="22000"/>
    <n v="0"/>
    <n v="132000"/>
    <n v="109376.07"/>
    <n v="22623.93"/>
  </r>
  <r>
    <s v="ORD-0427"/>
    <x v="243"/>
    <x v="0"/>
    <s v="Haryana"/>
    <x v="1"/>
    <s v="Accessories"/>
    <x v="16"/>
    <x v="0"/>
    <n v="7"/>
    <n v="2500"/>
    <n v="0"/>
    <n v="17500"/>
    <n v="11641.48"/>
    <n v="5858.52"/>
  </r>
  <r>
    <s v="ORD-0428"/>
    <x v="244"/>
    <x v="1"/>
    <s v="West Bengal"/>
    <x v="0"/>
    <s v="Stationery"/>
    <x v="12"/>
    <x v="3"/>
    <n v="6"/>
    <n v="450"/>
    <n v="0"/>
    <n v="2700"/>
    <n v="1725.99"/>
    <n v="974.01"/>
  </r>
  <r>
    <s v="ORD-0429"/>
    <x v="234"/>
    <x v="3"/>
    <s v="Maharashtra"/>
    <x v="0"/>
    <s v="Stationery"/>
    <x v="15"/>
    <x v="0"/>
    <n v="5"/>
    <n v="180"/>
    <n v="0.15"/>
    <n v="765"/>
    <n v="539.61"/>
    <n v="225.39"/>
  </r>
  <r>
    <s v="ORD-0430"/>
    <x v="245"/>
    <x v="1"/>
    <s v="Jharkhand"/>
    <x v="2"/>
    <s v="Chairs"/>
    <x v="13"/>
    <x v="2"/>
    <n v="2"/>
    <n v="10500"/>
    <n v="0"/>
    <n v="21000"/>
    <n v="15983.37"/>
    <n v="5016.63"/>
  </r>
  <r>
    <s v="ORD-0431"/>
    <x v="174"/>
    <x v="0"/>
    <s v="Haryana"/>
    <x v="0"/>
    <s v="Stationery"/>
    <x v="11"/>
    <x v="5"/>
    <n v="2"/>
    <n v="250"/>
    <n v="0.1"/>
    <n v="450"/>
    <n v="356.9"/>
    <n v="93.1"/>
  </r>
  <r>
    <s v="ORD-0432"/>
    <x v="59"/>
    <x v="0"/>
    <s v="Punjab"/>
    <x v="2"/>
    <s v="Tables"/>
    <x v="7"/>
    <x v="2"/>
    <n v="1"/>
    <n v="12000"/>
    <n v="0.15"/>
    <n v="10200"/>
    <n v="6674.79"/>
    <n v="3525.21"/>
  </r>
  <r>
    <s v="ORD-0433"/>
    <x v="207"/>
    <x v="3"/>
    <s v="Goa"/>
    <x v="0"/>
    <s v="Printers"/>
    <x v="0"/>
    <x v="1"/>
    <n v="6"/>
    <n v="8500"/>
    <n v="0"/>
    <n v="51000"/>
    <n v="37830.54"/>
    <n v="13169.46"/>
  </r>
  <r>
    <s v="ORD-0434"/>
    <x v="246"/>
    <x v="3"/>
    <s v="Rajasthan"/>
    <x v="1"/>
    <s v="Laptops"/>
    <x v="10"/>
    <x v="5"/>
    <n v="7"/>
    <n v="49000"/>
    <n v="0"/>
    <n v="343000"/>
    <n v="235651.99"/>
    <n v="107348.01"/>
  </r>
  <r>
    <s v="ORD-0435"/>
    <x v="228"/>
    <x v="3"/>
    <s v="Goa"/>
    <x v="0"/>
    <s v="Stationery"/>
    <x v="12"/>
    <x v="0"/>
    <n v="4"/>
    <n v="450"/>
    <n v="0.1"/>
    <n v="1620"/>
    <n v="1073.6600000000001"/>
    <n v="546.34"/>
  </r>
  <r>
    <s v="ORD-0436"/>
    <x v="135"/>
    <x v="0"/>
    <s v="Uttar Pradesh"/>
    <x v="0"/>
    <s v="Stationery"/>
    <x v="11"/>
    <x v="2"/>
    <n v="2"/>
    <n v="250"/>
    <n v="0.1"/>
    <n v="450"/>
    <n v="288.72000000000003"/>
    <n v="161.28"/>
  </r>
  <r>
    <s v="ORD-0437"/>
    <x v="247"/>
    <x v="1"/>
    <s v="Odisha"/>
    <x v="2"/>
    <s v="Chairs"/>
    <x v="5"/>
    <x v="2"/>
    <n v="4"/>
    <n v="4200"/>
    <n v="0"/>
    <n v="16800"/>
    <n v="11469.87"/>
    <n v="5330.13"/>
  </r>
  <r>
    <s v="ORD-0438"/>
    <x v="37"/>
    <x v="3"/>
    <s v="Maharashtra"/>
    <x v="2"/>
    <s v="Tables"/>
    <x v="7"/>
    <x v="5"/>
    <n v="5"/>
    <n v="12000"/>
    <n v="0.05"/>
    <n v="57000"/>
    <n v="42432.02"/>
    <n v="14567.98"/>
  </r>
  <r>
    <s v="ORD-0439"/>
    <x v="6"/>
    <x v="2"/>
    <s v="Kerala"/>
    <x v="1"/>
    <s v="Laptops"/>
    <x v="18"/>
    <x v="0"/>
    <n v="4"/>
    <n v="58000"/>
    <n v="0.15"/>
    <n v="197200"/>
    <n v="134267.48000000001"/>
    <n v="62932.52"/>
  </r>
  <r>
    <s v="ORD-0440"/>
    <x v="248"/>
    <x v="3"/>
    <s v="Maharashtra"/>
    <x v="2"/>
    <s v="Tables"/>
    <x v="7"/>
    <x v="1"/>
    <n v="5"/>
    <n v="12000"/>
    <n v="0.15"/>
    <n v="51000"/>
    <n v="37809.760000000002"/>
    <n v="13190.24"/>
  </r>
  <r>
    <s v="ORD-0441"/>
    <x v="114"/>
    <x v="0"/>
    <s v="Punjab"/>
    <x v="1"/>
    <s v="Accessories"/>
    <x v="14"/>
    <x v="1"/>
    <n v="2"/>
    <n v="1200"/>
    <n v="0"/>
    <n v="2400"/>
    <n v="1959.03"/>
    <n v="440.97"/>
  </r>
  <r>
    <s v="ORD-0442"/>
    <x v="28"/>
    <x v="0"/>
    <s v="Uttar Pradesh"/>
    <x v="0"/>
    <s v="Stationery"/>
    <x v="12"/>
    <x v="5"/>
    <n v="5"/>
    <n v="450"/>
    <n v="0.15"/>
    <n v="1912.5"/>
    <n v="1460.88"/>
    <n v="451.62"/>
  </r>
  <r>
    <s v="ORD-0443"/>
    <x v="249"/>
    <x v="2"/>
    <s v="Kerala"/>
    <x v="1"/>
    <s v="Accessories"/>
    <x v="16"/>
    <x v="1"/>
    <n v="3"/>
    <n v="2500"/>
    <n v="0.15"/>
    <n v="6375"/>
    <n v="4655.33"/>
    <n v="1719.67"/>
  </r>
  <r>
    <s v="ORD-0444"/>
    <x v="97"/>
    <x v="1"/>
    <s v="Odisha"/>
    <x v="0"/>
    <s v="Stationery"/>
    <x v="15"/>
    <x v="0"/>
    <n v="3"/>
    <n v="180"/>
    <n v="0.05"/>
    <n v="513"/>
    <n v="368.42"/>
    <n v="144.58000000000001"/>
  </r>
  <r>
    <s v="ORD-0445"/>
    <x v="250"/>
    <x v="3"/>
    <s v="Goa"/>
    <x v="2"/>
    <s v="Chairs"/>
    <x v="9"/>
    <x v="3"/>
    <n v="4"/>
    <n v="6500"/>
    <n v="0"/>
    <n v="26000"/>
    <n v="17632.12"/>
    <n v="8367.8799999999992"/>
  </r>
  <r>
    <s v="ORD-0446"/>
    <x v="74"/>
    <x v="0"/>
    <s v="Delhi"/>
    <x v="0"/>
    <s v="Printers"/>
    <x v="17"/>
    <x v="3"/>
    <n v="8"/>
    <n v="14500"/>
    <n v="0"/>
    <n v="116000"/>
    <n v="72938.37"/>
    <n v="43061.63"/>
  </r>
  <r>
    <s v="ORD-0447"/>
    <x v="2"/>
    <x v="2"/>
    <s v="Karnataka"/>
    <x v="0"/>
    <s v="Printers"/>
    <x v="17"/>
    <x v="5"/>
    <n v="3"/>
    <n v="14500"/>
    <n v="0.15"/>
    <n v="36975"/>
    <n v="28241.82"/>
    <n v="8733.18"/>
  </r>
  <r>
    <s v="ORD-0448"/>
    <x v="251"/>
    <x v="0"/>
    <s v="Punjab"/>
    <x v="2"/>
    <s v="Chairs"/>
    <x v="5"/>
    <x v="3"/>
    <n v="6"/>
    <n v="4200"/>
    <n v="0.1"/>
    <n v="22680"/>
    <n v="16490.84"/>
    <n v="6189.16"/>
  </r>
  <r>
    <s v="ORD-0449"/>
    <x v="224"/>
    <x v="0"/>
    <s v="Delhi"/>
    <x v="2"/>
    <s v="Chairs"/>
    <x v="9"/>
    <x v="4"/>
    <n v="5"/>
    <n v="6500"/>
    <n v="0.05"/>
    <n v="30875"/>
    <n v="20163.009999999998"/>
    <n v="10711.99"/>
  </r>
  <r>
    <s v="ORD-0450"/>
    <x v="209"/>
    <x v="2"/>
    <s v="Karnataka"/>
    <x v="0"/>
    <s v="Stationery"/>
    <x v="11"/>
    <x v="1"/>
    <n v="2"/>
    <n v="250"/>
    <n v="0.15"/>
    <n v="425"/>
    <n v="326.63"/>
    <n v="98.37"/>
  </r>
  <r>
    <s v="ORD-0451"/>
    <x v="140"/>
    <x v="3"/>
    <s v="Gujarat"/>
    <x v="0"/>
    <s v="Printers"/>
    <x v="0"/>
    <x v="0"/>
    <n v="1"/>
    <n v="8500"/>
    <n v="0.05"/>
    <n v="8075"/>
    <n v="6025.3"/>
    <n v="2049.6999999999998"/>
  </r>
  <r>
    <s v="ORD-0452"/>
    <x v="78"/>
    <x v="3"/>
    <s v="Rajasthan"/>
    <x v="0"/>
    <s v="Stationery"/>
    <x v="12"/>
    <x v="0"/>
    <n v="5"/>
    <n v="450"/>
    <n v="0.05"/>
    <n v="2137.5"/>
    <n v="1568.2"/>
    <n v="569.29999999999995"/>
  </r>
  <r>
    <s v="ORD-0453"/>
    <x v="252"/>
    <x v="0"/>
    <s v="Punjab"/>
    <x v="1"/>
    <s v="Laptops"/>
    <x v="18"/>
    <x v="5"/>
    <n v="8"/>
    <n v="58000"/>
    <n v="0.15"/>
    <n v="394400"/>
    <n v="259327.74"/>
    <n v="135072.26"/>
  </r>
  <r>
    <s v="ORD-0454"/>
    <x v="21"/>
    <x v="3"/>
    <s v="Gujarat"/>
    <x v="0"/>
    <s v="Printers"/>
    <x v="0"/>
    <x v="2"/>
    <n v="6"/>
    <n v="8500"/>
    <n v="0.15"/>
    <n v="43350"/>
    <n v="32566.14"/>
    <n v="10783.86"/>
  </r>
  <r>
    <s v="ORD-0455"/>
    <x v="37"/>
    <x v="3"/>
    <s v="Goa"/>
    <x v="2"/>
    <s v="Chairs"/>
    <x v="9"/>
    <x v="4"/>
    <n v="4"/>
    <n v="6500"/>
    <n v="0.15"/>
    <n v="22100"/>
    <n v="17720.509999999998"/>
    <n v="4379.49"/>
  </r>
  <r>
    <s v="ORD-0456"/>
    <x v="43"/>
    <x v="0"/>
    <s v="Delhi"/>
    <x v="2"/>
    <s v="Chairs"/>
    <x v="5"/>
    <x v="5"/>
    <n v="2"/>
    <n v="4200"/>
    <n v="0"/>
    <n v="8400"/>
    <n v="6099.18"/>
    <n v="2300.8200000000002"/>
  </r>
  <r>
    <s v="ORD-0457"/>
    <x v="253"/>
    <x v="0"/>
    <s v="Uttar Pradesh"/>
    <x v="0"/>
    <s v="Printers"/>
    <x v="17"/>
    <x v="4"/>
    <n v="7"/>
    <n v="14500"/>
    <n v="0.05"/>
    <n v="96425"/>
    <n v="79690.710000000006"/>
    <n v="16734.29"/>
  </r>
  <r>
    <s v="ORD-0458"/>
    <x v="224"/>
    <x v="1"/>
    <s v="Odisha"/>
    <x v="0"/>
    <s v="Stationery"/>
    <x v="11"/>
    <x v="0"/>
    <n v="5"/>
    <n v="250"/>
    <n v="0.15"/>
    <n v="1062.5"/>
    <n v="837.77"/>
    <n v="224.73"/>
  </r>
  <r>
    <s v="ORD-0459"/>
    <x v="254"/>
    <x v="2"/>
    <s v="Kerala"/>
    <x v="2"/>
    <s v="Chairs"/>
    <x v="9"/>
    <x v="2"/>
    <n v="1"/>
    <n v="6500"/>
    <n v="0"/>
    <n v="6500"/>
    <n v="4773.26"/>
    <n v="1726.74"/>
  </r>
  <r>
    <s v="ORD-0460"/>
    <x v="255"/>
    <x v="3"/>
    <s v="Maharashtra"/>
    <x v="2"/>
    <s v="Tables"/>
    <x v="2"/>
    <x v="0"/>
    <n v="7"/>
    <n v="7000"/>
    <n v="0.1"/>
    <n v="44100"/>
    <n v="29877.16"/>
    <n v="14222.84"/>
  </r>
  <r>
    <s v="ORD-0461"/>
    <x v="240"/>
    <x v="1"/>
    <s v="Odisha"/>
    <x v="0"/>
    <s v="Printers"/>
    <x v="17"/>
    <x v="0"/>
    <n v="7"/>
    <n v="14500"/>
    <n v="0.15"/>
    <n v="86275"/>
    <n v="56882.69"/>
    <n v="29392.31"/>
  </r>
  <r>
    <s v="ORD-0462"/>
    <x v="164"/>
    <x v="1"/>
    <s v="Odisha"/>
    <x v="2"/>
    <s v="Tables"/>
    <x v="6"/>
    <x v="3"/>
    <n v="3"/>
    <n v="25000"/>
    <n v="0"/>
    <n v="75000"/>
    <n v="58838.93"/>
    <n v="16161.07"/>
  </r>
  <r>
    <s v="ORD-0463"/>
    <x v="256"/>
    <x v="3"/>
    <s v="Rajasthan"/>
    <x v="1"/>
    <s v="Accessories"/>
    <x v="4"/>
    <x v="1"/>
    <n v="1"/>
    <n v="1800"/>
    <n v="0.05"/>
    <n v="1710"/>
    <n v="1206.58"/>
    <n v="503.42"/>
  </r>
  <r>
    <s v="ORD-0464"/>
    <x v="141"/>
    <x v="0"/>
    <s v="Haryana"/>
    <x v="1"/>
    <s v="Mobiles"/>
    <x v="19"/>
    <x v="3"/>
    <n v="2"/>
    <n v="22000"/>
    <n v="0"/>
    <n v="44000"/>
    <n v="29826.73"/>
    <n v="14173.27"/>
  </r>
  <r>
    <s v="ORD-0465"/>
    <x v="101"/>
    <x v="0"/>
    <s v="Haryana"/>
    <x v="0"/>
    <s v="Printers"/>
    <x v="17"/>
    <x v="5"/>
    <n v="5"/>
    <n v="14500"/>
    <n v="0"/>
    <n v="72500"/>
    <n v="60034.17"/>
    <n v="12465.83"/>
  </r>
  <r>
    <s v="ORD-0466"/>
    <x v="114"/>
    <x v="1"/>
    <s v="Jharkhand"/>
    <x v="1"/>
    <s v="Laptops"/>
    <x v="10"/>
    <x v="5"/>
    <n v="5"/>
    <n v="49000"/>
    <n v="0.05"/>
    <n v="232750"/>
    <n v="146025.97"/>
    <n v="86724.03"/>
  </r>
  <r>
    <s v="ORD-0467"/>
    <x v="84"/>
    <x v="3"/>
    <s v="Gujarat"/>
    <x v="0"/>
    <s v="Stationery"/>
    <x v="11"/>
    <x v="0"/>
    <n v="1"/>
    <n v="250"/>
    <n v="0.05"/>
    <n v="237.5"/>
    <n v="151.79"/>
    <n v="85.71"/>
  </r>
  <r>
    <s v="ORD-0468"/>
    <x v="102"/>
    <x v="1"/>
    <s v="Odisha"/>
    <x v="0"/>
    <s v="Printers"/>
    <x v="17"/>
    <x v="5"/>
    <n v="4"/>
    <n v="14500"/>
    <n v="0"/>
    <n v="58000"/>
    <n v="45363.17"/>
    <n v="12636.83"/>
  </r>
  <r>
    <s v="ORD-0469"/>
    <x v="37"/>
    <x v="0"/>
    <s v="Punjab"/>
    <x v="0"/>
    <s v="Printers"/>
    <x v="17"/>
    <x v="1"/>
    <n v="4"/>
    <n v="14500"/>
    <n v="0.05"/>
    <n v="55100"/>
    <n v="39674.589999999997"/>
    <n v="15425.41"/>
  </r>
  <r>
    <s v="ORD-0470"/>
    <x v="257"/>
    <x v="0"/>
    <s v="Punjab"/>
    <x v="1"/>
    <s v="Mobiles"/>
    <x v="19"/>
    <x v="4"/>
    <n v="2"/>
    <n v="22000"/>
    <n v="0.1"/>
    <n v="39600"/>
    <n v="27513.78"/>
    <n v="12086.22"/>
  </r>
  <r>
    <s v="ORD-0471"/>
    <x v="190"/>
    <x v="2"/>
    <s v="Telangana"/>
    <x v="0"/>
    <s v="Printers"/>
    <x v="17"/>
    <x v="5"/>
    <n v="8"/>
    <n v="14500"/>
    <n v="0.05"/>
    <n v="110200"/>
    <n v="86688.18"/>
    <n v="23511.82"/>
  </r>
  <r>
    <s v="ORD-0472"/>
    <x v="132"/>
    <x v="1"/>
    <s v="West Bengal"/>
    <x v="2"/>
    <s v="Chairs"/>
    <x v="13"/>
    <x v="4"/>
    <n v="7"/>
    <n v="10500"/>
    <n v="0.05"/>
    <n v="69825"/>
    <n v="53689.9"/>
    <n v="16135.1"/>
  </r>
  <r>
    <s v="ORD-0473"/>
    <x v="77"/>
    <x v="2"/>
    <s v="Kerala"/>
    <x v="2"/>
    <s v="Chairs"/>
    <x v="5"/>
    <x v="1"/>
    <n v="4"/>
    <n v="4200"/>
    <n v="0.1"/>
    <n v="15120"/>
    <n v="9683.7900000000009"/>
    <n v="5436.21"/>
  </r>
  <r>
    <s v="ORD-0474"/>
    <x v="237"/>
    <x v="2"/>
    <s v="Karnataka"/>
    <x v="0"/>
    <s v="Stationery"/>
    <x v="11"/>
    <x v="1"/>
    <n v="6"/>
    <n v="250"/>
    <n v="0.05"/>
    <n v="1425"/>
    <n v="1163.8699999999999"/>
    <n v="261.13"/>
  </r>
  <r>
    <s v="ORD-0475"/>
    <x v="214"/>
    <x v="3"/>
    <s v="Gujarat"/>
    <x v="2"/>
    <s v="Chairs"/>
    <x v="9"/>
    <x v="2"/>
    <n v="4"/>
    <n v="6500"/>
    <n v="0.1"/>
    <n v="23400"/>
    <n v="15572.5"/>
    <n v="7827.5"/>
  </r>
  <r>
    <s v="ORD-0476"/>
    <x v="258"/>
    <x v="3"/>
    <s v="Maharashtra"/>
    <x v="1"/>
    <s v="Laptops"/>
    <x v="1"/>
    <x v="4"/>
    <n v="8"/>
    <n v="52000"/>
    <n v="0"/>
    <n v="416000"/>
    <n v="327863.63"/>
    <n v="88136.37"/>
  </r>
  <r>
    <s v="ORD-0477"/>
    <x v="259"/>
    <x v="0"/>
    <s v="Uttar Pradesh"/>
    <x v="2"/>
    <s v="Tables"/>
    <x v="7"/>
    <x v="5"/>
    <n v="5"/>
    <n v="12000"/>
    <n v="0.15"/>
    <n v="51000"/>
    <n v="33671.82"/>
    <n v="17328.18"/>
  </r>
  <r>
    <s v="ORD-0478"/>
    <x v="39"/>
    <x v="2"/>
    <s v="Kerala"/>
    <x v="1"/>
    <s v="Accessories"/>
    <x v="14"/>
    <x v="4"/>
    <n v="7"/>
    <n v="1200"/>
    <n v="0.15"/>
    <n v="7140"/>
    <n v="5902.81"/>
    <n v="1237.19"/>
  </r>
  <r>
    <s v="ORD-0479"/>
    <x v="19"/>
    <x v="2"/>
    <s v="Kerala"/>
    <x v="0"/>
    <s v="Stationery"/>
    <x v="11"/>
    <x v="4"/>
    <n v="8"/>
    <n v="250"/>
    <n v="0.1"/>
    <n v="1800"/>
    <n v="1388.93"/>
    <n v="411.07"/>
  </r>
  <r>
    <s v="ORD-0480"/>
    <x v="69"/>
    <x v="3"/>
    <s v="Goa"/>
    <x v="0"/>
    <s v="Stationery"/>
    <x v="11"/>
    <x v="1"/>
    <n v="5"/>
    <n v="250"/>
    <n v="0.05"/>
    <n v="1187.5"/>
    <n v="879.56"/>
    <n v="307.94"/>
  </r>
  <r>
    <s v="ORD-0481"/>
    <x v="260"/>
    <x v="2"/>
    <s v="Kerala"/>
    <x v="0"/>
    <s v="Printers"/>
    <x v="17"/>
    <x v="0"/>
    <n v="8"/>
    <n v="14500"/>
    <n v="0.15"/>
    <n v="98600"/>
    <n v="65698.87"/>
    <n v="32901.129999999997"/>
  </r>
  <r>
    <s v="ORD-0482"/>
    <x v="150"/>
    <x v="2"/>
    <s v="Telangana"/>
    <x v="2"/>
    <s v="Tables"/>
    <x v="7"/>
    <x v="0"/>
    <n v="3"/>
    <n v="12000"/>
    <n v="0.05"/>
    <n v="34200"/>
    <n v="27329.97"/>
    <n v="6870.03"/>
  </r>
  <r>
    <s v="ORD-0483"/>
    <x v="180"/>
    <x v="3"/>
    <s v="Goa"/>
    <x v="2"/>
    <s v="Chairs"/>
    <x v="9"/>
    <x v="2"/>
    <n v="3"/>
    <n v="6500"/>
    <n v="0.15"/>
    <n v="16575"/>
    <n v="13214.37"/>
    <n v="3360.63"/>
  </r>
  <r>
    <s v="ORD-0484"/>
    <x v="156"/>
    <x v="1"/>
    <s v="Jharkhand"/>
    <x v="1"/>
    <s v="Accessories"/>
    <x v="16"/>
    <x v="5"/>
    <n v="6"/>
    <n v="2500"/>
    <n v="0.15"/>
    <n v="12750"/>
    <n v="8746.6"/>
    <n v="4003.4"/>
  </r>
  <r>
    <s v="ORD-0485"/>
    <x v="100"/>
    <x v="0"/>
    <s v="Uttar Pradesh"/>
    <x v="1"/>
    <s v="Accessories"/>
    <x v="14"/>
    <x v="4"/>
    <n v="4"/>
    <n v="1200"/>
    <n v="0.1"/>
    <n v="4320"/>
    <n v="3131.3"/>
    <n v="1188.7"/>
  </r>
  <r>
    <s v="ORD-0486"/>
    <x v="245"/>
    <x v="0"/>
    <s v="Uttar Pradesh"/>
    <x v="0"/>
    <s v="Printers"/>
    <x v="17"/>
    <x v="1"/>
    <n v="6"/>
    <n v="14500"/>
    <n v="0.1"/>
    <n v="78300"/>
    <n v="54474.16"/>
    <n v="23825.84"/>
  </r>
  <r>
    <s v="ORD-0487"/>
    <x v="21"/>
    <x v="0"/>
    <s v="Punjab"/>
    <x v="0"/>
    <s v="Stationery"/>
    <x v="15"/>
    <x v="5"/>
    <n v="3"/>
    <n v="180"/>
    <n v="0.1"/>
    <n v="486"/>
    <n v="339.29"/>
    <n v="146.71"/>
  </r>
  <r>
    <s v="ORD-0488"/>
    <x v="237"/>
    <x v="1"/>
    <s v="Jharkhand"/>
    <x v="1"/>
    <s v="Mobiles"/>
    <x v="19"/>
    <x v="1"/>
    <n v="8"/>
    <n v="22000"/>
    <n v="0.05"/>
    <n v="167200"/>
    <n v="135601.99"/>
    <n v="31598.01"/>
  </r>
  <r>
    <s v="ORD-0489"/>
    <x v="0"/>
    <x v="2"/>
    <s v="Kerala"/>
    <x v="0"/>
    <s v="Printers"/>
    <x v="0"/>
    <x v="4"/>
    <n v="3"/>
    <n v="8500"/>
    <n v="0.1"/>
    <n v="22950"/>
    <n v="15381.27"/>
    <n v="7568.73"/>
  </r>
  <r>
    <s v="ORD-0490"/>
    <x v="199"/>
    <x v="2"/>
    <s v="Telangana"/>
    <x v="0"/>
    <s v="Printers"/>
    <x v="17"/>
    <x v="3"/>
    <n v="6"/>
    <n v="14500"/>
    <n v="0.15"/>
    <n v="73950"/>
    <n v="52584.19"/>
    <n v="21365.81"/>
  </r>
  <r>
    <s v="ORD-0491"/>
    <x v="261"/>
    <x v="0"/>
    <s v="Delhi"/>
    <x v="0"/>
    <s v="Stationery"/>
    <x v="15"/>
    <x v="1"/>
    <n v="2"/>
    <n v="180"/>
    <n v="0.05"/>
    <n v="342"/>
    <n v="224.6"/>
    <n v="117.4"/>
  </r>
  <r>
    <s v="ORD-0492"/>
    <x v="197"/>
    <x v="0"/>
    <s v="Haryana"/>
    <x v="2"/>
    <s v="Chairs"/>
    <x v="9"/>
    <x v="3"/>
    <n v="2"/>
    <n v="6500"/>
    <n v="0"/>
    <n v="13000"/>
    <n v="8810.61"/>
    <n v="4189.3900000000003"/>
  </r>
  <r>
    <s v="ORD-0493"/>
    <x v="35"/>
    <x v="0"/>
    <s v="Uttar Pradesh"/>
    <x v="2"/>
    <s v="Chairs"/>
    <x v="9"/>
    <x v="2"/>
    <n v="5"/>
    <n v="6500"/>
    <n v="0.15"/>
    <n v="27625"/>
    <n v="20934.939999999999"/>
    <n v="6690.06"/>
  </r>
  <r>
    <s v="ORD-0494"/>
    <x v="196"/>
    <x v="3"/>
    <s v="Rajasthan"/>
    <x v="1"/>
    <s v="Accessories"/>
    <x v="4"/>
    <x v="1"/>
    <n v="8"/>
    <n v="1800"/>
    <n v="0.15"/>
    <n v="12240"/>
    <n v="10214.23"/>
    <n v="2025.77"/>
  </r>
  <r>
    <s v="ORD-0495"/>
    <x v="126"/>
    <x v="2"/>
    <s v="Kerala"/>
    <x v="1"/>
    <s v="Accessories"/>
    <x v="16"/>
    <x v="0"/>
    <n v="8"/>
    <n v="2500"/>
    <n v="0.15"/>
    <n v="17000"/>
    <n v="12497.74"/>
    <n v="4502.26"/>
  </r>
  <r>
    <s v="ORD-0496"/>
    <x v="0"/>
    <x v="2"/>
    <s v="Telangana"/>
    <x v="2"/>
    <s v="Chairs"/>
    <x v="9"/>
    <x v="3"/>
    <n v="5"/>
    <n v="6500"/>
    <n v="0.1"/>
    <n v="29250"/>
    <n v="20787.53"/>
    <n v="8462.4699999999993"/>
  </r>
  <r>
    <s v="ORD-0497"/>
    <x v="35"/>
    <x v="2"/>
    <s v="Karnataka"/>
    <x v="1"/>
    <s v="Accessories"/>
    <x v="14"/>
    <x v="1"/>
    <n v="5"/>
    <n v="1200"/>
    <n v="0.15"/>
    <n v="5100"/>
    <n v="3762.38"/>
    <n v="1337.62"/>
  </r>
  <r>
    <s v="ORD-0498"/>
    <x v="73"/>
    <x v="1"/>
    <s v="Jharkhand"/>
    <x v="2"/>
    <s v="Chairs"/>
    <x v="13"/>
    <x v="1"/>
    <n v="4"/>
    <n v="10500"/>
    <n v="0"/>
    <n v="42000"/>
    <n v="31105.48"/>
    <n v="10894.52"/>
  </r>
  <r>
    <s v="ORD-0499"/>
    <x v="86"/>
    <x v="1"/>
    <s v="Jharkhand"/>
    <x v="2"/>
    <s v="Chairs"/>
    <x v="9"/>
    <x v="2"/>
    <n v="7"/>
    <n v="6500"/>
    <n v="0.15"/>
    <n v="38675"/>
    <n v="25855.41"/>
    <n v="12819.59"/>
  </r>
  <r>
    <s v="ORD-0500"/>
    <x v="91"/>
    <x v="1"/>
    <s v="Bihar"/>
    <x v="0"/>
    <s v="Printers"/>
    <x v="17"/>
    <x v="2"/>
    <n v="5"/>
    <n v="14500"/>
    <n v="0.15"/>
    <n v="61625"/>
    <n v="40756.32"/>
    <n v="20868.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2D7068-D2C8-406B-AD23-A497E65B1BC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D12:E16" firstHeaderRow="1" firstDataRow="1" firstDataCol="1"/>
  <pivotFields count="15">
    <pivotField showAll="0"/>
    <pivotField numFmtId="164" showAll="0"/>
    <pivotField showAll="0"/>
    <pivotField showAll="0"/>
    <pivotField axis="axisRow" showAll="0">
      <items count="4">
        <item x="2"/>
        <item x="0"/>
        <item x="1"/>
        <item t="default"/>
      </items>
    </pivotField>
    <pivotField showAll="0"/>
    <pivotField showAll="0"/>
    <pivotField showAll="0">
      <items count="7">
        <item h="1" x="4"/>
        <item x="0"/>
        <item h="1" x="2"/>
        <item x="3"/>
        <item h="1" x="1"/>
        <item x="5"/>
        <item t="default"/>
      </items>
    </pivotField>
    <pivotField showAll="0"/>
    <pivotField numFmtId="4" showAll="0"/>
    <pivotField numFmtId="4" showAll="0"/>
    <pivotField dataField="1" numFmtId="4" showAll="0"/>
    <pivotField numFmtId="4" showAll="0"/>
    <pivotField numFmtId="4" showAll="0"/>
    <pivotField showAll="0" defaultSubtotal="0"/>
  </pivotFields>
  <rowFields count="1">
    <field x="4"/>
  </rowFields>
  <rowItems count="4">
    <i>
      <x/>
    </i>
    <i>
      <x v="1"/>
    </i>
    <i>
      <x v="2"/>
    </i>
    <i t="grand">
      <x/>
    </i>
  </rowItems>
  <colItems count="1">
    <i/>
  </colItems>
  <dataFields count="1">
    <dataField name="Sum of Sales" fld="11" baseField="0" baseItem="0"/>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E59A3A-08B3-4E64-9E17-C47D67C3A481}"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location ref="A12:B17" firstHeaderRow="1" firstDataRow="1" firstDataCol="1"/>
  <pivotFields count="15">
    <pivotField showAll="0"/>
    <pivotField numFmtId="164" showAll="0"/>
    <pivotField axis="axisRow" showAll="0">
      <items count="5">
        <item x="1"/>
        <item x="0"/>
        <item x="2"/>
        <item x="3"/>
        <item t="default"/>
      </items>
    </pivotField>
    <pivotField showAll="0"/>
    <pivotField showAll="0"/>
    <pivotField showAll="0"/>
    <pivotField showAll="0"/>
    <pivotField showAll="0">
      <items count="7">
        <item h="1" x="4"/>
        <item x="0"/>
        <item h="1" x="2"/>
        <item x="3"/>
        <item h="1" x="1"/>
        <item x="5"/>
        <item t="default"/>
      </items>
    </pivotField>
    <pivotField showAll="0"/>
    <pivotField numFmtId="4" showAll="0"/>
    <pivotField numFmtId="4" showAll="0"/>
    <pivotField dataField="1" numFmtId="4" showAll="0"/>
    <pivotField numFmtId="4" showAll="0"/>
    <pivotField numFmtId="4" showAll="0"/>
    <pivotField showAll="0" defaultSubtotal="0"/>
  </pivotFields>
  <rowFields count="1">
    <field x="2"/>
  </rowFields>
  <rowItems count="5">
    <i>
      <x/>
    </i>
    <i>
      <x v="1"/>
    </i>
    <i>
      <x v="2"/>
    </i>
    <i>
      <x v="3"/>
    </i>
    <i t="grand">
      <x/>
    </i>
  </rowItems>
  <colItems count="1">
    <i/>
  </colItems>
  <dataFields count="1">
    <dataField name="Sum of Sales" fld="11" baseField="0" baseItem="0"/>
  </dataFields>
  <formats count="6">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479C7C-8B88-4F47-919B-38BDDF5D37C9}"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Salesperson">
  <location ref="J12:K16" firstHeaderRow="1" firstDataRow="1" firstDataCol="1"/>
  <pivotFields count="15">
    <pivotField showAll="0"/>
    <pivotField numFmtId="164" showAll="0"/>
    <pivotField showAll="0"/>
    <pivotField showAll="0"/>
    <pivotField showAll="0"/>
    <pivotField showAll="0"/>
    <pivotField showAll="0"/>
    <pivotField axis="axisRow" showAll="0">
      <items count="7">
        <item h="1" x="4"/>
        <item x="0"/>
        <item h="1" x="2"/>
        <item x="3"/>
        <item h="1" x="1"/>
        <item x="5"/>
        <item t="default"/>
      </items>
    </pivotField>
    <pivotField showAll="0"/>
    <pivotField numFmtId="4" showAll="0"/>
    <pivotField numFmtId="4" showAll="0"/>
    <pivotField dataField="1" numFmtId="4" showAll="0"/>
    <pivotField numFmtId="4" showAll="0"/>
    <pivotField numFmtId="4" showAll="0"/>
    <pivotField showAll="0" defaultSubtotal="0"/>
  </pivotFields>
  <rowFields count="1">
    <field x="7"/>
  </rowFields>
  <rowItems count="4">
    <i>
      <x v="1"/>
    </i>
    <i>
      <x v="3"/>
    </i>
    <i>
      <x v="5"/>
    </i>
    <i t="grand">
      <x/>
    </i>
  </rowItems>
  <colItems count="1">
    <i/>
  </colItems>
  <dataFields count="1">
    <dataField name="Sum of Sales" fld="11" baseField="0" baseItem="0"/>
  </dataFields>
  <formats count="6">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grandRow="1" outline="0" fieldPosition="0"/>
    </format>
    <format dxfId="12">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 format="2">
      <pivotArea type="data" outline="0" fieldPosition="0">
        <references count="2">
          <reference field="4294967294" count="1" selected="0">
            <x v="0"/>
          </reference>
          <reference field="7" count="1" selected="0">
            <x v="3"/>
          </reference>
        </references>
      </pivotArea>
    </chartFormat>
    <chartFormat chart="1" format="3">
      <pivotArea type="data" outline="0" fieldPosition="0">
        <references count="2">
          <reference field="4294967294" count="1" selected="0">
            <x v="0"/>
          </reference>
          <reference field="7" count="1" selected="0">
            <x v="5"/>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5F692D-09B3-4A3A-87EC-4B3C85C215AC}"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Month">
  <location ref="G12:H25" firstHeaderRow="1" firstDataRow="1" firstDataCol="1"/>
  <pivotFields count="15">
    <pivotField showAll="0"/>
    <pivotField numFmtId="164" showAll="0"/>
    <pivotField showAll="0"/>
    <pivotField showAll="0"/>
    <pivotField showAll="0"/>
    <pivotField showAll="0"/>
    <pivotField showAll="0"/>
    <pivotField showAll="0">
      <items count="7">
        <item h="1" x="4"/>
        <item x="0"/>
        <item h="1" x="2"/>
        <item x="3"/>
        <item h="1" x="1"/>
        <item x="5"/>
        <item t="default"/>
      </items>
    </pivotField>
    <pivotField showAll="0"/>
    <pivotField numFmtId="4" showAll="0"/>
    <pivotField numFmtId="4" showAll="0"/>
    <pivotField dataField="1" numFmtId="4" showAll="0"/>
    <pivotField numFmtId="4" showAll="0"/>
    <pivotField numFmtId="4" showAll="0"/>
    <pivotField axis="axisRow" showAll="0" defaultSubtotal="0">
      <items count="14">
        <item x="0"/>
        <item x="1"/>
        <item x="2"/>
        <item x="3"/>
        <item x="4"/>
        <item x="5"/>
        <item x="6"/>
        <item x="7"/>
        <item x="8"/>
        <item x="9"/>
        <item x="10"/>
        <item x="11"/>
        <item x="12"/>
        <item x="13"/>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11" baseField="0" baseItem="0"/>
  </dataFields>
  <formats count="6">
    <format dxfId="23">
      <pivotArea type="all" dataOnly="0" outline="0" fieldPosition="0"/>
    </format>
    <format dxfId="22">
      <pivotArea outline="0" collapsedLevelsAreSubtotals="1" fieldPosition="0"/>
    </format>
    <format dxfId="21">
      <pivotArea field="14" type="button" dataOnly="0" labelOnly="1" outline="0" axis="axisRow" fieldPosition="0"/>
    </format>
    <format dxfId="20">
      <pivotArea dataOnly="0" labelOnly="1" fieldPosition="0">
        <references count="1">
          <reference field="14" count="12">
            <x v="1"/>
            <x v="2"/>
            <x v="3"/>
            <x v="4"/>
            <x v="5"/>
            <x v="6"/>
            <x v="7"/>
            <x v="8"/>
            <x v="9"/>
            <x v="10"/>
            <x v="11"/>
            <x v="12"/>
          </reference>
        </references>
      </pivotArea>
    </format>
    <format dxfId="19">
      <pivotArea dataOnly="0" labelOnly="1" grandRow="1" outline="0" fieldPosition="0"/>
    </format>
    <format dxfId="18">
      <pivotArea dataOnly="0" labelOnly="1" outline="0" axis="axisValues" fieldPosition="0"/>
    </format>
  </formats>
  <chartFormats count="1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2"/>
          </reference>
        </references>
      </pivotArea>
    </chartFormat>
    <chartFormat chart="3" format="2">
      <pivotArea type="data" outline="0" fieldPosition="0">
        <references count="2">
          <reference field="4294967294" count="1" selected="0">
            <x v="0"/>
          </reference>
          <reference field="14" count="1" selected="0">
            <x v="3"/>
          </reference>
        </references>
      </pivotArea>
    </chartFormat>
    <chartFormat chart="3" format="3">
      <pivotArea type="data" outline="0" fieldPosition="0">
        <references count="2">
          <reference field="4294967294" count="1" selected="0">
            <x v="0"/>
          </reference>
          <reference field="14" count="1" selected="0">
            <x v="4"/>
          </reference>
        </references>
      </pivotArea>
    </chartFormat>
    <chartFormat chart="3" format="4">
      <pivotArea type="data" outline="0" fieldPosition="0">
        <references count="2">
          <reference field="4294967294" count="1" selected="0">
            <x v="0"/>
          </reference>
          <reference field="14" count="1" selected="0">
            <x v="5"/>
          </reference>
        </references>
      </pivotArea>
    </chartFormat>
    <chartFormat chart="3" format="5">
      <pivotArea type="data" outline="0" fieldPosition="0">
        <references count="2">
          <reference field="4294967294" count="1" selected="0">
            <x v="0"/>
          </reference>
          <reference field="14" count="1" selected="0">
            <x v="6"/>
          </reference>
        </references>
      </pivotArea>
    </chartFormat>
    <chartFormat chart="3" format="6">
      <pivotArea type="data" outline="0" fieldPosition="0">
        <references count="2">
          <reference field="4294967294" count="1" selected="0">
            <x v="0"/>
          </reference>
          <reference field="14" count="1" selected="0">
            <x v="7"/>
          </reference>
        </references>
      </pivotArea>
    </chartFormat>
    <chartFormat chart="3" format="7">
      <pivotArea type="data" outline="0" fieldPosition="0">
        <references count="2">
          <reference field="4294967294" count="1" selected="0">
            <x v="0"/>
          </reference>
          <reference field="14" count="1" selected="0">
            <x v="8"/>
          </reference>
        </references>
      </pivotArea>
    </chartFormat>
    <chartFormat chart="3" format="8">
      <pivotArea type="data" outline="0" fieldPosition="0">
        <references count="2">
          <reference field="4294967294" count="1" selected="0">
            <x v="0"/>
          </reference>
          <reference field="14" count="1" selected="0">
            <x v="9"/>
          </reference>
        </references>
      </pivotArea>
    </chartFormat>
    <chartFormat chart="3" format="9">
      <pivotArea type="data" outline="0" fieldPosition="0">
        <references count="2">
          <reference field="4294967294" count="1" selected="0">
            <x v="0"/>
          </reference>
          <reference field="14" count="1" selected="0">
            <x v="10"/>
          </reference>
        </references>
      </pivotArea>
    </chartFormat>
    <chartFormat chart="3" format="10">
      <pivotArea type="data" outline="0" fieldPosition="0">
        <references count="2">
          <reference field="4294967294" count="1" selected="0">
            <x v="0"/>
          </reference>
          <reference field="14" count="1" selected="0">
            <x v="11"/>
          </reference>
        </references>
      </pivotArea>
    </chartFormat>
    <chartFormat chart="3" format="11">
      <pivotArea type="data" outline="0" fieldPosition="0">
        <references count="2">
          <reference field="4294967294" count="1" selected="0">
            <x v="0"/>
          </reference>
          <reference field="14" count="1" selected="0">
            <x v="12"/>
          </reference>
        </references>
      </pivotArea>
    </chartFormat>
    <chartFormat chart="3" format="1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806DA6AE-A95A-4B47-84D4-B5A141E29F06}" sourceName="Salesperson">
  <pivotTables>
    <pivotTable tabId="9" name="PivotTable13"/>
    <pivotTable tabId="9" name="PivotTable10"/>
    <pivotTable tabId="9" name="PivotTable11"/>
    <pivotTable tabId="9" name="PivotTable12"/>
  </pivotTables>
  <data>
    <tabular pivotCacheId="1786660068">
      <items count="6">
        <i x="4"/>
        <i x="0" s="1"/>
        <i x="2"/>
        <i x="3" s="1"/>
        <i x="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81793F34-D05D-4DD6-AF5C-BCC008BFF690}" cache="Slicer_Salesperson1" caption="Salesperson" style="Slicer Style 6"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9539F4-E559-4503-A0AD-9D3DB45F8FE7}" name="Table1" displayName="Table1" ref="A1:N501" totalsRowShown="0">
  <autoFilter ref="A1:N501" xr:uid="{989539F4-E559-4503-A0AD-9D3DB45F8FE7}"/>
  <tableColumns count="14">
    <tableColumn id="1" xr3:uid="{B0368CC0-340F-4554-9154-EE980C21B5F4}" name="Order ID"/>
    <tableColumn id="2" xr3:uid="{47A24B6B-D480-4C2B-B8FB-F63454A15305}" name="Order Date"/>
    <tableColumn id="3" xr3:uid="{0B19A3B4-D33C-4448-8679-8EA87F1E3DA2}" name="Region"/>
    <tableColumn id="4" xr3:uid="{8D44D026-DE01-4C59-95B9-F21EA5E7ACF3}" name="State"/>
    <tableColumn id="5" xr3:uid="{D1D9FE2E-0FB3-4963-895B-057CCB246A93}" name="Category"/>
    <tableColumn id="6" xr3:uid="{89D4ABC1-E353-4F64-9CC4-9A90B7F28F15}" name="Sub-Category"/>
    <tableColumn id="7" xr3:uid="{62997081-5537-4979-BFD8-4C07F1F9C843}" name="Product"/>
    <tableColumn id="8" xr3:uid="{E15B75EC-4F65-4E07-9830-C0138372B126}" name="Salesperson"/>
    <tableColumn id="9" xr3:uid="{0F86781F-EBFE-43E2-8DE8-E9D268B55109}" name="Quantity"/>
    <tableColumn id="10" xr3:uid="{814EA916-8E96-45CC-91AE-CB50DDC089EE}" name="Unit Price"/>
    <tableColumn id="11" xr3:uid="{590D018A-B92E-4198-BED9-9AF758F3ED0E}" name="Discount"/>
    <tableColumn id="12" xr3:uid="{CF2984A3-5CB9-490C-8578-14AAFAA2ED26}" name="Sales"/>
    <tableColumn id="13" xr3:uid="{78839797-8567-4714-8C07-A8E6DADF88D7}" name="Cost"/>
    <tableColumn id="14" xr3:uid="{E2B3E323-F1F1-4241-8EC1-BF55C5A93CF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2DBD-5BEE-4B8C-BF11-F8F49AF3DC75}">
  <dimension ref="A1:N501"/>
  <sheetViews>
    <sheetView topLeftCell="A2" workbookViewId="0">
      <selection activeCell="D34" sqref="D34"/>
    </sheetView>
  </sheetViews>
  <sheetFormatPr defaultColWidth="18"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v>45985</v>
      </c>
      <c r="C2" t="s">
        <v>15</v>
      </c>
      <c r="D2" t="s">
        <v>16</v>
      </c>
      <c r="E2" t="s">
        <v>17</v>
      </c>
      <c r="F2" t="s">
        <v>18</v>
      </c>
      <c r="G2" t="s">
        <v>19</v>
      </c>
      <c r="H2" t="s">
        <v>20</v>
      </c>
      <c r="I2">
        <v>3</v>
      </c>
      <c r="J2">
        <v>8500</v>
      </c>
      <c r="K2">
        <v>0</v>
      </c>
      <c r="L2">
        <v>25500</v>
      </c>
      <c r="M2">
        <v>19606.28</v>
      </c>
      <c r="N2">
        <v>5893.72</v>
      </c>
    </row>
    <row r="3" spans="1:14" x14ac:dyDescent="0.25">
      <c r="A3" t="s">
        <v>21</v>
      </c>
      <c r="B3">
        <v>45937</v>
      </c>
      <c r="C3" t="s">
        <v>15</v>
      </c>
      <c r="D3" t="s">
        <v>22</v>
      </c>
      <c r="E3" t="s">
        <v>23</v>
      </c>
      <c r="F3" t="s">
        <v>24</v>
      </c>
      <c r="G3" t="s">
        <v>25</v>
      </c>
      <c r="H3" t="s">
        <v>20</v>
      </c>
      <c r="I3">
        <v>4</v>
      </c>
      <c r="J3">
        <v>52000</v>
      </c>
      <c r="K3">
        <v>0</v>
      </c>
      <c r="L3">
        <v>208000</v>
      </c>
      <c r="M3">
        <v>154642.57</v>
      </c>
      <c r="N3">
        <v>53357.43</v>
      </c>
    </row>
    <row r="4" spans="1:14" x14ac:dyDescent="0.25">
      <c r="A4" t="s">
        <v>26</v>
      </c>
      <c r="B4">
        <v>45990</v>
      </c>
      <c r="C4" t="s">
        <v>27</v>
      </c>
      <c r="D4" t="s">
        <v>28</v>
      </c>
      <c r="E4" t="s">
        <v>29</v>
      </c>
      <c r="F4" t="s">
        <v>30</v>
      </c>
      <c r="G4" t="s">
        <v>31</v>
      </c>
      <c r="H4" t="s">
        <v>20</v>
      </c>
      <c r="I4">
        <v>7</v>
      </c>
      <c r="J4">
        <v>7000</v>
      </c>
      <c r="K4">
        <v>0.1</v>
      </c>
      <c r="L4">
        <v>44100</v>
      </c>
      <c r="M4">
        <v>30037.91</v>
      </c>
      <c r="N4">
        <v>14062.09</v>
      </c>
    </row>
    <row r="5" spans="1:14" x14ac:dyDescent="0.25">
      <c r="A5" t="s">
        <v>32</v>
      </c>
      <c r="B5">
        <v>45768</v>
      </c>
      <c r="C5" t="s">
        <v>33</v>
      </c>
      <c r="D5" t="s">
        <v>34</v>
      </c>
      <c r="E5" t="s">
        <v>23</v>
      </c>
      <c r="F5" t="s">
        <v>35</v>
      </c>
      <c r="G5" t="s">
        <v>36</v>
      </c>
      <c r="H5" t="s">
        <v>37</v>
      </c>
      <c r="I5">
        <v>6</v>
      </c>
      <c r="J5">
        <v>26000</v>
      </c>
      <c r="K5">
        <v>0.1</v>
      </c>
      <c r="L5">
        <v>140400</v>
      </c>
      <c r="M5">
        <v>111978.58</v>
      </c>
      <c r="N5">
        <v>28421.42</v>
      </c>
    </row>
    <row r="6" spans="1:14" x14ac:dyDescent="0.25">
      <c r="A6" t="s">
        <v>38</v>
      </c>
      <c r="B6">
        <v>45893</v>
      </c>
      <c r="C6" t="s">
        <v>15</v>
      </c>
      <c r="D6" t="s">
        <v>22</v>
      </c>
      <c r="E6" t="s">
        <v>23</v>
      </c>
      <c r="F6" t="s">
        <v>39</v>
      </c>
      <c r="G6" t="s">
        <v>40</v>
      </c>
      <c r="H6" t="s">
        <v>41</v>
      </c>
      <c r="I6">
        <v>6</v>
      </c>
      <c r="J6">
        <v>1800</v>
      </c>
      <c r="K6">
        <v>0.05</v>
      </c>
      <c r="L6">
        <v>10260</v>
      </c>
      <c r="M6">
        <v>7951.56</v>
      </c>
      <c r="N6">
        <v>2308.44</v>
      </c>
    </row>
    <row r="7" spans="1:14" x14ac:dyDescent="0.25">
      <c r="A7" t="s">
        <v>42</v>
      </c>
      <c r="B7">
        <v>45681</v>
      </c>
      <c r="C7" t="s">
        <v>43</v>
      </c>
      <c r="D7" t="s">
        <v>44</v>
      </c>
      <c r="E7" t="s">
        <v>23</v>
      </c>
      <c r="F7" t="s">
        <v>24</v>
      </c>
      <c r="G7" t="s">
        <v>25</v>
      </c>
      <c r="H7" t="s">
        <v>45</v>
      </c>
      <c r="I7">
        <v>5</v>
      </c>
      <c r="J7">
        <v>52000</v>
      </c>
      <c r="K7">
        <v>0.15</v>
      </c>
      <c r="L7">
        <v>221000</v>
      </c>
      <c r="M7">
        <v>167926.98</v>
      </c>
      <c r="N7">
        <v>53073.02</v>
      </c>
    </row>
    <row r="8" spans="1:14" x14ac:dyDescent="0.25">
      <c r="A8" t="s">
        <v>46</v>
      </c>
      <c r="B8">
        <v>45844</v>
      </c>
      <c r="C8" t="s">
        <v>43</v>
      </c>
      <c r="D8" t="s">
        <v>44</v>
      </c>
      <c r="E8" t="s">
        <v>29</v>
      </c>
      <c r="F8" t="s">
        <v>47</v>
      </c>
      <c r="G8" t="s">
        <v>48</v>
      </c>
      <c r="H8" t="s">
        <v>37</v>
      </c>
      <c r="I8">
        <v>2</v>
      </c>
      <c r="J8">
        <v>4200</v>
      </c>
      <c r="K8">
        <v>0.05</v>
      </c>
      <c r="L8">
        <v>7980</v>
      </c>
      <c r="M8">
        <v>5885.34</v>
      </c>
      <c r="N8">
        <v>2094.66</v>
      </c>
    </row>
    <row r="9" spans="1:14" x14ac:dyDescent="0.25">
      <c r="A9" t="s">
        <v>49</v>
      </c>
      <c r="B9">
        <v>45783</v>
      </c>
      <c r="C9" t="s">
        <v>43</v>
      </c>
      <c r="D9" t="s">
        <v>50</v>
      </c>
      <c r="E9" t="s">
        <v>29</v>
      </c>
      <c r="F9" t="s">
        <v>30</v>
      </c>
      <c r="G9" t="s">
        <v>51</v>
      </c>
      <c r="H9" t="s">
        <v>41</v>
      </c>
      <c r="I9">
        <v>4</v>
      </c>
      <c r="J9">
        <v>25000</v>
      </c>
      <c r="K9">
        <v>0.1</v>
      </c>
      <c r="L9">
        <v>90000</v>
      </c>
      <c r="M9">
        <v>72488.47</v>
      </c>
      <c r="N9">
        <v>17511.53</v>
      </c>
    </row>
    <row r="10" spans="1:14" x14ac:dyDescent="0.25">
      <c r="A10" t="s">
        <v>52</v>
      </c>
      <c r="B10">
        <v>45686</v>
      </c>
      <c r="C10" t="s">
        <v>43</v>
      </c>
      <c r="D10" t="s">
        <v>53</v>
      </c>
      <c r="E10" t="s">
        <v>29</v>
      </c>
      <c r="F10" t="s">
        <v>30</v>
      </c>
      <c r="G10" t="s">
        <v>54</v>
      </c>
      <c r="H10" t="s">
        <v>55</v>
      </c>
      <c r="I10">
        <v>4</v>
      </c>
      <c r="J10">
        <v>12000</v>
      </c>
      <c r="K10">
        <v>0.1</v>
      </c>
      <c r="L10">
        <v>43200</v>
      </c>
      <c r="M10">
        <v>28804.799999999999</v>
      </c>
      <c r="N10">
        <v>14395.2</v>
      </c>
    </row>
    <row r="11" spans="1:14" x14ac:dyDescent="0.25">
      <c r="A11" t="s">
        <v>56</v>
      </c>
      <c r="B11">
        <v>45913</v>
      </c>
      <c r="C11" t="s">
        <v>27</v>
      </c>
      <c r="D11" t="s">
        <v>57</v>
      </c>
      <c r="E11" t="s">
        <v>23</v>
      </c>
      <c r="F11" t="s">
        <v>35</v>
      </c>
      <c r="G11" t="s">
        <v>36</v>
      </c>
      <c r="H11" t="s">
        <v>20</v>
      </c>
      <c r="I11">
        <v>5</v>
      </c>
      <c r="J11">
        <v>26000</v>
      </c>
      <c r="K11">
        <v>0.15</v>
      </c>
      <c r="L11">
        <v>110500</v>
      </c>
      <c r="M11">
        <v>90336.07</v>
      </c>
      <c r="N11">
        <v>20163.93</v>
      </c>
    </row>
    <row r="12" spans="1:14" x14ac:dyDescent="0.25">
      <c r="A12" t="s">
        <v>58</v>
      </c>
      <c r="B12">
        <v>45862</v>
      </c>
      <c r="C12" t="s">
        <v>33</v>
      </c>
      <c r="D12" t="s">
        <v>59</v>
      </c>
      <c r="E12" t="s">
        <v>23</v>
      </c>
      <c r="F12" t="s">
        <v>39</v>
      </c>
      <c r="G12" t="s">
        <v>40</v>
      </c>
      <c r="H12" t="s">
        <v>55</v>
      </c>
      <c r="I12">
        <v>1</v>
      </c>
      <c r="J12">
        <v>1800</v>
      </c>
      <c r="K12">
        <v>0</v>
      </c>
      <c r="L12">
        <v>1800</v>
      </c>
      <c r="M12">
        <v>1176.53</v>
      </c>
      <c r="N12">
        <v>623.47</v>
      </c>
    </row>
    <row r="13" spans="1:14" x14ac:dyDescent="0.25">
      <c r="A13" t="s">
        <v>60</v>
      </c>
      <c r="B13">
        <v>45739</v>
      </c>
      <c r="C13" t="s">
        <v>27</v>
      </c>
      <c r="D13" t="s">
        <v>61</v>
      </c>
      <c r="E13" t="s">
        <v>29</v>
      </c>
      <c r="F13" t="s">
        <v>30</v>
      </c>
      <c r="G13" t="s">
        <v>51</v>
      </c>
      <c r="H13" t="s">
        <v>45</v>
      </c>
      <c r="I13">
        <v>5</v>
      </c>
      <c r="J13">
        <v>25000</v>
      </c>
      <c r="K13">
        <v>0</v>
      </c>
      <c r="L13">
        <v>125000</v>
      </c>
      <c r="M13">
        <v>96207.79</v>
      </c>
      <c r="N13">
        <v>28792.21</v>
      </c>
    </row>
    <row r="14" spans="1:14" x14ac:dyDescent="0.25">
      <c r="A14" t="s">
        <v>62</v>
      </c>
      <c r="B14">
        <v>45716</v>
      </c>
      <c r="C14" t="s">
        <v>33</v>
      </c>
      <c r="D14" t="s">
        <v>63</v>
      </c>
      <c r="E14" t="s">
        <v>23</v>
      </c>
      <c r="F14" t="s">
        <v>35</v>
      </c>
      <c r="G14" t="s">
        <v>64</v>
      </c>
      <c r="H14" t="s">
        <v>20</v>
      </c>
      <c r="I14">
        <v>8</v>
      </c>
      <c r="J14">
        <v>31000</v>
      </c>
      <c r="K14">
        <v>0</v>
      </c>
      <c r="L14">
        <v>248000</v>
      </c>
      <c r="M14">
        <v>205800.2</v>
      </c>
      <c r="N14">
        <v>42199.8</v>
      </c>
    </row>
    <row r="15" spans="1:14" x14ac:dyDescent="0.25">
      <c r="A15" t="s">
        <v>65</v>
      </c>
      <c r="B15">
        <v>45792</v>
      </c>
      <c r="C15" t="s">
        <v>43</v>
      </c>
      <c r="D15" t="s">
        <v>53</v>
      </c>
      <c r="E15" t="s">
        <v>17</v>
      </c>
      <c r="F15" t="s">
        <v>18</v>
      </c>
      <c r="G15" t="s">
        <v>19</v>
      </c>
      <c r="H15" t="s">
        <v>20</v>
      </c>
      <c r="I15">
        <v>6</v>
      </c>
      <c r="J15">
        <v>8500</v>
      </c>
      <c r="K15">
        <v>0.05</v>
      </c>
      <c r="L15">
        <v>48450</v>
      </c>
      <c r="M15">
        <v>35788.239999999998</v>
      </c>
      <c r="N15">
        <v>12661.76</v>
      </c>
    </row>
    <row r="16" spans="1:14" x14ac:dyDescent="0.25">
      <c r="A16" t="s">
        <v>66</v>
      </c>
      <c r="B16">
        <v>45929</v>
      </c>
      <c r="C16" t="s">
        <v>15</v>
      </c>
      <c r="D16" t="s">
        <v>67</v>
      </c>
      <c r="E16" t="s">
        <v>29</v>
      </c>
      <c r="F16" t="s">
        <v>47</v>
      </c>
      <c r="G16" t="s">
        <v>68</v>
      </c>
      <c r="H16" t="s">
        <v>37</v>
      </c>
      <c r="I16">
        <v>5</v>
      </c>
      <c r="J16">
        <v>6500</v>
      </c>
      <c r="K16">
        <v>0.05</v>
      </c>
      <c r="L16">
        <v>30875</v>
      </c>
      <c r="M16">
        <v>19535.96</v>
      </c>
      <c r="N16">
        <v>11339.04</v>
      </c>
    </row>
    <row r="17" spans="1:14" x14ac:dyDescent="0.25">
      <c r="A17" t="s">
        <v>69</v>
      </c>
      <c r="B17">
        <v>45948</v>
      </c>
      <c r="C17" t="s">
        <v>15</v>
      </c>
      <c r="D17" t="s">
        <v>16</v>
      </c>
      <c r="E17" t="s">
        <v>17</v>
      </c>
      <c r="F17" t="s">
        <v>18</v>
      </c>
      <c r="G17" t="s">
        <v>19</v>
      </c>
      <c r="H17" t="s">
        <v>70</v>
      </c>
      <c r="I17">
        <v>3</v>
      </c>
      <c r="J17">
        <v>8500</v>
      </c>
      <c r="K17">
        <v>0.05</v>
      </c>
      <c r="L17">
        <v>24225</v>
      </c>
      <c r="M17">
        <v>18535.64</v>
      </c>
      <c r="N17">
        <v>5689.36</v>
      </c>
    </row>
    <row r="18" spans="1:14" x14ac:dyDescent="0.25">
      <c r="A18" t="s">
        <v>71</v>
      </c>
      <c r="B18">
        <v>45939</v>
      </c>
      <c r="C18" t="s">
        <v>43</v>
      </c>
      <c r="D18" t="s">
        <v>44</v>
      </c>
      <c r="E18" t="s">
        <v>17</v>
      </c>
      <c r="F18" t="s">
        <v>18</v>
      </c>
      <c r="G18" t="s">
        <v>19</v>
      </c>
      <c r="H18" t="s">
        <v>70</v>
      </c>
      <c r="I18">
        <v>4</v>
      </c>
      <c r="J18">
        <v>8500</v>
      </c>
      <c r="K18">
        <v>0.1</v>
      </c>
      <c r="L18">
        <v>30600</v>
      </c>
      <c r="M18">
        <v>21658.02</v>
      </c>
      <c r="N18">
        <v>8941.98</v>
      </c>
    </row>
    <row r="19" spans="1:14" x14ac:dyDescent="0.25">
      <c r="A19" t="s">
        <v>72</v>
      </c>
      <c r="B19">
        <v>46001</v>
      </c>
      <c r="C19" t="s">
        <v>33</v>
      </c>
      <c r="D19" t="s">
        <v>73</v>
      </c>
      <c r="E19" t="s">
        <v>17</v>
      </c>
      <c r="F19" t="s">
        <v>18</v>
      </c>
      <c r="G19" t="s">
        <v>19</v>
      </c>
      <c r="H19" t="s">
        <v>20</v>
      </c>
      <c r="I19">
        <v>4</v>
      </c>
      <c r="J19">
        <v>8500</v>
      </c>
      <c r="K19">
        <v>0</v>
      </c>
      <c r="L19">
        <v>34000</v>
      </c>
      <c r="M19">
        <v>23608.880000000001</v>
      </c>
      <c r="N19">
        <v>10391.120000000001</v>
      </c>
    </row>
    <row r="20" spans="1:14" x14ac:dyDescent="0.25">
      <c r="A20" t="s">
        <v>74</v>
      </c>
      <c r="B20">
        <v>45959</v>
      </c>
      <c r="C20" t="s">
        <v>43</v>
      </c>
      <c r="D20" t="s">
        <v>75</v>
      </c>
      <c r="E20" t="s">
        <v>23</v>
      </c>
      <c r="F20" t="s">
        <v>24</v>
      </c>
      <c r="G20" t="s">
        <v>76</v>
      </c>
      <c r="H20" t="s">
        <v>41</v>
      </c>
      <c r="I20">
        <v>1</v>
      </c>
      <c r="J20">
        <v>49000</v>
      </c>
      <c r="K20">
        <v>0.05</v>
      </c>
      <c r="L20">
        <v>46550</v>
      </c>
      <c r="M20">
        <v>29551.25</v>
      </c>
      <c r="N20">
        <v>16998.75</v>
      </c>
    </row>
    <row r="21" spans="1:14" x14ac:dyDescent="0.25">
      <c r="A21" t="s">
        <v>77</v>
      </c>
      <c r="B21">
        <v>45674</v>
      </c>
      <c r="C21" t="s">
        <v>33</v>
      </c>
      <c r="D21" t="s">
        <v>34</v>
      </c>
      <c r="E21" t="s">
        <v>17</v>
      </c>
      <c r="F21" t="s">
        <v>78</v>
      </c>
      <c r="G21" t="s">
        <v>79</v>
      </c>
      <c r="H21" t="s">
        <v>41</v>
      </c>
      <c r="I21">
        <v>8</v>
      </c>
      <c r="J21">
        <v>250</v>
      </c>
      <c r="K21">
        <v>0.05</v>
      </c>
      <c r="L21">
        <v>1900</v>
      </c>
      <c r="M21">
        <v>1403.4</v>
      </c>
      <c r="N21">
        <v>496.6</v>
      </c>
    </row>
    <row r="22" spans="1:14" x14ac:dyDescent="0.25">
      <c r="A22" t="s">
        <v>80</v>
      </c>
      <c r="B22">
        <v>45950</v>
      </c>
      <c r="C22" t="s">
        <v>27</v>
      </c>
      <c r="D22" t="s">
        <v>28</v>
      </c>
      <c r="E22" t="s">
        <v>29</v>
      </c>
      <c r="F22" t="s">
        <v>30</v>
      </c>
      <c r="G22" t="s">
        <v>31</v>
      </c>
      <c r="H22" t="s">
        <v>55</v>
      </c>
      <c r="I22">
        <v>2</v>
      </c>
      <c r="J22">
        <v>7000</v>
      </c>
      <c r="K22">
        <v>0.15</v>
      </c>
      <c r="L22">
        <v>11900</v>
      </c>
      <c r="M22">
        <v>8305.5499999999993</v>
      </c>
      <c r="N22">
        <v>3594.45</v>
      </c>
    </row>
    <row r="23" spans="1:14" x14ac:dyDescent="0.25">
      <c r="A23" t="s">
        <v>81</v>
      </c>
      <c r="B23">
        <v>45868</v>
      </c>
      <c r="C23" t="s">
        <v>27</v>
      </c>
      <c r="D23" t="s">
        <v>61</v>
      </c>
      <c r="E23" t="s">
        <v>17</v>
      </c>
      <c r="F23" t="s">
        <v>78</v>
      </c>
      <c r="G23" t="s">
        <v>82</v>
      </c>
      <c r="H23" t="s">
        <v>45</v>
      </c>
      <c r="I23">
        <v>6</v>
      </c>
      <c r="J23">
        <v>450</v>
      </c>
      <c r="K23">
        <v>0</v>
      </c>
      <c r="L23">
        <v>2700</v>
      </c>
      <c r="M23">
        <v>1821.7</v>
      </c>
      <c r="N23">
        <v>878.3</v>
      </c>
    </row>
    <row r="24" spans="1:14" x14ac:dyDescent="0.25">
      <c r="A24" t="s">
        <v>83</v>
      </c>
      <c r="B24">
        <v>45755</v>
      </c>
      <c r="C24" t="s">
        <v>27</v>
      </c>
      <c r="D24" t="s">
        <v>28</v>
      </c>
      <c r="E24" t="s">
        <v>29</v>
      </c>
      <c r="F24" t="s">
        <v>47</v>
      </c>
      <c r="G24" t="s">
        <v>84</v>
      </c>
      <c r="H24" t="s">
        <v>45</v>
      </c>
      <c r="I24">
        <v>4</v>
      </c>
      <c r="J24">
        <v>10500</v>
      </c>
      <c r="K24">
        <v>0</v>
      </c>
      <c r="L24">
        <v>42000</v>
      </c>
      <c r="M24">
        <v>30134.53</v>
      </c>
      <c r="N24">
        <v>11865.47</v>
      </c>
    </row>
    <row r="25" spans="1:14" x14ac:dyDescent="0.25">
      <c r="A25" t="s">
        <v>85</v>
      </c>
      <c r="B25">
        <v>45939</v>
      </c>
      <c r="C25" t="s">
        <v>15</v>
      </c>
      <c r="D25" t="s">
        <v>16</v>
      </c>
      <c r="E25" t="s">
        <v>17</v>
      </c>
      <c r="F25" t="s">
        <v>78</v>
      </c>
      <c r="G25" t="s">
        <v>82</v>
      </c>
      <c r="H25" t="s">
        <v>20</v>
      </c>
      <c r="I25">
        <v>3</v>
      </c>
      <c r="J25">
        <v>450</v>
      </c>
      <c r="K25">
        <v>0.15</v>
      </c>
      <c r="L25">
        <v>1147.5</v>
      </c>
      <c r="M25">
        <v>834.05</v>
      </c>
      <c r="N25">
        <v>313.45</v>
      </c>
    </row>
    <row r="26" spans="1:14" x14ac:dyDescent="0.25">
      <c r="A26" t="s">
        <v>86</v>
      </c>
      <c r="B26">
        <v>45767</v>
      </c>
      <c r="C26" t="s">
        <v>27</v>
      </c>
      <c r="D26" t="s">
        <v>61</v>
      </c>
      <c r="E26" t="s">
        <v>23</v>
      </c>
      <c r="F26" t="s">
        <v>35</v>
      </c>
      <c r="G26" t="s">
        <v>36</v>
      </c>
      <c r="H26" t="s">
        <v>45</v>
      </c>
      <c r="I26">
        <v>5</v>
      </c>
      <c r="J26">
        <v>26000</v>
      </c>
      <c r="K26">
        <v>0.15</v>
      </c>
      <c r="L26">
        <v>110500</v>
      </c>
      <c r="M26">
        <v>75444.41</v>
      </c>
      <c r="N26">
        <v>35055.589999999997</v>
      </c>
    </row>
    <row r="27" spans="1:14" x14ac:dyDescent="0.25">
      <c r="A27" t="s">
        <v>87</v>
      </c>
      <c r="B27">
        <v>46014</v>
      </c>
      <c r="C27" t="s">
        <v>27</v>
      </c>
      <c r="D27" t="s">
        <v>28</v>
      </c>
      <c r="E27" t="s">
        <v>23</v>
      </c>
      <c r="F27" t="s">
        <v>35</v>
      </c>
      <c r="G27" t="s">
        <v>36</v>
      </c>
      <c r="H27" t="s">
        <v>55</v>
      </c>
      <c r="I27">
        <v>1</v>
      </c>
      <c r="J27">
        <v>26000</v>
      </c>
      <c r="K27">
        <v>0.1</v>
      </c>
      <c r="L27">
        <v>23400</v>
      </c>
      <c r="M27">
        <v>14802.29</v>
      </c>
      <c r="N27">
        <v>8597.7099999999991</v>
      </c>
    </row>
    <row r="28" spans="1:14" x14ac:dyDescent="0.25">
      <c r="A28" t="s">
        <v>88</v>
      </c>
      <c r="B28">
        <v>45957</v>
      </c>
      <c r="C28" t="s">
        <v>27</v>
      </c>
      <c r="D28" t="s">
        <v>28</v>
      </c>
      <c r="E28" t="s">
        <v>23</v>
      </c>
      <c r="F28" t="s">
        <v>39</v>
      </c>
      <c r="G28" t="s">
        <v>89</v>
      </c>
      <c r="H28" t="s">
        <v>20</v>
      </c>
      <c r="I28">
        <v>2</v>
      </c>
      <c r="J28">
        <v>1200</v>
      </c>
      <c r="K28">
        <v>0</v>
      </c>
      <c r="L28">
        <v>2400</v>
      </c>
      <c r="M28">
        <v>1844.51</v>
      </c>
      <c r="N28">
        <v>555.49</v>
      </c>
    </row>
    <row r="29" spans="1:14" x14ac:dyDescent="0.25">
      <c r="A29" t="s">
        <v>90</v>
      </c>
      <c r="B29">
        <v>45778</v>
      </c>
      <c r="C29" t="s">
        <v>27</v>
      </c>
      <c r="D29" t="s">
        <v>61</v>
      </c>
      <c r="E29" t="s">
        <v>17</v>
      </c>
      <c r="F29" t="s">
        <v>78</v>
      </c>
      <c r="G29" t="s">
        <v>91</v>
      </c>
      <c r="H29" t="s">
        <v>70</v>
      </c>
      <c r="I29">
        <v>1</v>
      </c>
      <c r="J29">
        <v>180</v>
      </c>
      <c r="K29">
        <v>0</v>
      </c>
      <c r="L29">
        <v>180</v>
      </c>
      <c r="M29">
        <v>128.19999999999999</v>
      </c>
      <c r="N29">
        <v>51.8</v>
      </c>
    </row>
    <row r="30" spans="1:14" x14ac:dyDescent="0.25">
      <c r="A30" t="s">
        <v>92</v>
      </c>
      <c r="B30">
        <v>45956</v>
      </c>
      <c r="C30" t="s">
        <v>33</v>
      </c>
      <c r="D30" t="s">
        <v>63</v>
      </c>
      <c r="E30" t="s">
        <v>23</v>
      </c>
      <c r="F30" t="s">
        <v>39</v>
      </c>
      <c r="G30" t="s">
        <v>93</v>
      </c>
      <c r="H30" t="s">
        <v>37</v>
      </c>
      <c r="I30">
        <v>4</v>
      </c>
      <c r="J30">
        <v>2500</v>
      </c>
      <c r="K30">
        <v>0.1</v>
      </c>
      <c r="L30">
        <v>9000</v>
      </c>
      <c r="M30">
        <v>6363.66</v>
      </c>
      <c r="N30">
        <v>2636.34</v>
      </c>
    </row>
    <row r="31" spans="1:14" x14ac:dyDescent="0.25">
      <c r="A31" t="s">
        <v>94</v>
      </c>
      <c r="B31">
        <v>46001</v>
      </c>
      <c r="C31" t="s">
        <v>33</v>
      </c>
      <c r="D31" t="s">
        <v>73</v>
      </c>
      <c r="E31" t="s">
        <v>29</v>
      </c>
      <c r="F31" t="s">
        <v>47</v>
      </c>
      <c r="G31" t="s">
        <v>68</v>
      </c>
      <c r="H31" t="s">
        <v>45</v>
      </c>
      <c r="I31">
        <v>2</v>
      </c>
      <c r="J31">
        <v>6500</v>
      </c>
      <c r="K31">
        <v>0</v>
      </c>
      <c r="L31">
        <v>13000</v>
      </c>
      <c r="M31">
        <v>9597.6299999999992</v>
      </c>
      <c r="N31">
        <v>3402.37</v>
      </c>
    </row>
    <row r="32" spans="1:14" x14ac:dyDescent="0.25">
      <c r="A32" t="s">
        <v>95</v>
      </c>
      <c r="B32">
        <v>45917</v>
      </c>
      <c r="C32" t="s">
        <v>33</v>
      </c>
      <c r="D32" t="s">
        <v>59</v>
      </c>
      <c r="E32" t="s">
        <v>29</v>
      </c>
      <c r="F32" t="s">
        <v>47</v>
      </c>
      <c r="G32" t="s">
        <v>68</v>
      </c>
      <c r="H32" t="s">
        <v>37</v>
      </c>
      <c r="I32">
        <v>5</v>
      </c>
      <c r="J32">
        <v>6500</v>
      </c>
      <c r="K32">
        <v>0.05</v>
      </c>
      <c r="L32">
        <v>30875</v>
      </c>
      <c r="M32">
        <v>22118.87</v>
      </c>
      <c r="N32">
        <v>8756.1299999999992</v>
      </c>
    </row>
    <row r="33" spans="1:14" x14ac:dyDescent="0.25">
      <c r="A33" t="s">
        <v>96</v>
      </c>
      <c r="B33">
        <v>45936</v>
      </c>
      <c r="C33" t="s">
        <v>33</v>
      </c>
      <c r="D33" t="s">
        <v>34</v>
      </c>
      <c r="E33" t="s">
        <v>17</v>
      </c>
      <c r="F33" t="s">
        <v>18</v>
      </c>
      <c r="G33" t="s">
        <v>19</v>
      </c>
      <c r="H33" t="s">
        <v>20</v>
      </c>
      <c r="I33">
        <v>5</v>
      </c>
      <c r="J33">
        <v>8500</v>
      </c>
      <c r="K33">
        <v>0</v>
      </c>
      <c r="L33">
        <v>42500</v>
      </c>
      <c r="M33">
        <v>34668.81</v>
      </c>
      <c r="N33">
        <v>7831.19</v>
      </c>
    </row>
    <row r="34" spans="1:14" x14ac:dyDescent="0.25">
      <c r="A34" t="s">
        <v>97</v>
      </c>
      <c r="B34">
        <v>45941</v>
      </c>
      <c r="C34" t="s">
        <v>43</v>
      </c>
      <c r="D34" t="s">
        <v>44</v>
      </c>
      <c r="E34" t="s">
        <v>29</v>
      </c>
      <c r="F34" t="s">
        <v>47</v>
      </c>
      <c r="G34" t="s">
        <v>48</v>
      </c>
      <c r="H34" t="s">
        <v>37</v>
      </c>
      <c r="I34">
        <v>4</v>
      </c>
      <c r="J34">
        <v>4200</v>
      </c>
      <c r="K34">
        <v>0.1</v>
      </c>
      <c r="L34">
        <v>15120</v>
      </c>
      <c r="M34">
        <v>11055.59</v>
      </c>
      <c r="N34">
        <v>4064.41</v>
      </c>
    </row>
    <row r="35" spans="1:14" x14ac:dyDescent="0.25">
      <c r="A35" t="s">
        <v>98</v>
      </c>
      <c r="B35">
        <v>45786</v>
      </c>
      <c r="C35" t="s">
        <v>15</v>
      </c>
      <c r="D35" t="s">
        <v>16</v>
      </c>
      <c r="E35" t="s">
        <v>17</v>
      </c>
      <c r="F35" t="s">
        <v>18</v>
      </c>
      <c r="G35" t="s">
        <v>99</v>
      </c>
      <c r="H35" t="s">
        <v>55</v>
      </c>
      <c r="I35">
        <v>1</v>
      </c>
      <c r="J35">
        <v>14500</v>
      </c>
      <c r="K35">
        <v>0.1</v>
      </c>
      <c r="L35">
        <v>13050</v>
      </c>
      <c r="M35">
        <v>10304.879999999999</v>
      </c>
      <c r="N35">
        <v>2745.12</v>
      </c>
    </row>
    <row r="36" spans="1:14" x14ac:dyDescent="0.25">
      <c r="A36" t="s">
        <v>100</v>
      </c>
      <c r="B36">
        <v>45984</v>
      </c>
      <c r="C36" t="s">
        <v>33</v>
      </c>
      <c r="D36" t="s">
        <v>59</v>
      </c>
      <c r="E36" t="s">
        <v>17</v>
      </c>
      <c r="F36" t="s">
        <v>18</v>
      </c>
      <c r="G36" t="s">
        <v>99</v>
      </c>
      <c r="H36" t="s">
        <v>70</v>
      </c>
      <c r="I36">
        <v>1</v>
      </c>
      <c r="J36">
        <v>14500</v>
      </c>
      <c r="K36">
        <v>0</v>
      </c>
      <c r="L36">
        <v>14500</v>
      </c>
      <c r="M36">
        <v>9230.0300000000007</v>
      </c>
      <c r="N36">
        <v>5269.97</v>
      </c>
    </row>
    <row r="37" spans="1:14" x14ac:dyDescent="0.25">
      <c r="A37" t="s">
        <v>101</v>
      </c>
      <c r="B37">
        <v>46011</v>
      </c>
      <c r="C37" t="s">
        <v>43</v>
      </c>
      <c r="D37" t="s">
        <v>53</v>
      </c>
      <c r="E37" t="s">
        <v>29</v>
      </c>
      <c r="F37" t="s">
        <v>47</v>
      </c>
      <c r="G37" t="s">
        <v>84</v>
      </c>
      <c r="H37" t="s">
        <v>20</v>
      </c>
      <c r="I37">
        <v>1</v>
      </c>
      <c r="J37">
        <v>10500</v>
      </c>
      <c r="K37">
        <v>0.1</v>
      </c>
      <c r="L37">
        <v>9450</v>
      </c>
      <c r="M37">
        <v>6617.11</v>
      </c>
      <c r="N37">
        <v>2832.89</v>
      </c>
    </row>
    <row r="38" spans="1:14" x14ac:dyDescent="0.25">
      <c r="A38" t="s">
        <v>102</v>
      </c>
      <c r="B38">
        <v>45678</v>
      </c>
      <c r="C38" t="s">
        <v>33</v>
      </c>
      <c r="D38" t="s">
        <v>59</v>
      </c>
      <c r="E38" t="s">
        <v>17</v>
      </c>
      <c r="F38" t="s">
        <v>78</v>
      </c>
      <c r="G38" t="s">
        <v>91</v>
      </c>
      <c r="H38" t="s">
        <v>55</v>
      </c>
      <c r="I38">
        <v>6</v>
      </c>
      <c r="J38">
        <v>180</v>
      </c>
      <c r="K38">
        <v>0.15</v>
      </c>
      <c r="L38">
        <v>918</v>
      </c>
      <c r="M38">
        <v>765.84</v>
      </c>
      <c r="N38">
        <v>152.16</v>
      </c>
    </row>
    <row r="39" spans="1:14" x14ac:dyDescent="0.25">
      <c r="A39" t="s">
        <v>103</v>
      </c>
      <c r="B39">
        <v>45737</v>
      </c>
      <c r="C39" t="s">
        <v>43</v>
      </c>
      <c r="D39" t="s">
        <v>75</v>
      </c>
      <c r="E39" t="s">
        <v>23</v>
      </c>
      <c r="F39" t="s">
        <v>35</v>
      </c>
      <c r="G39" t="s">
        <v>36</v>
      </c>
      <c r="H39" t="s">
        <v>20</v>
      </c>
      <c r="I39">
        <v>6</v>
      </c>
      <c r="J39">
        <v>26000</v>
      </c>
      <c r="K39">
        <v>0.15</v>
      </c>
      <c r="L39">
        <v>132600</v>
      </c>
      <c r="M39">
        <v>105614.8</v>
      </c>
      <c r="N39">
        <v>26985.200000000001</v>
      </c>
    </row>
    <row r="40" spans="1:14" x14ac:dyDescent="0.25">
      <c r="A40" t="s">
        <v>104</v>
      </c>
      <c r="B40">
        <v>45785</v>
      </c>
      <c r="C40" t="s">
        <v>33</v>
      </c>
      <c r="D40" t="s">
        <v>59</v>
      </c>
      <c r="E40" t="s">
        <v>17</v>
      </c>
      <c r="F40" t="s">
        <v>78</v>
      </c>
      <c r="G40" t="s">
        <v>79</v>
      </c>
      <c r="H40" t="s">
        <v>55</v>
      </c>
      <c r="I40">
        <v>8</v>
      </c>
      <c r="J40">
        <v>250</v>
      </c>
      <c r="K40">
        <v>0.05</v>
      </c>
      <c r="L40">
        <v>1900</v>
      </c>
      <c r="M40">
        <v>1261.42</v>
      </c>
      <c r="N40">
        <v>638.58000000000004</v>
      </c>
    </row>
    <row r="41" spans="1:14" x14ac:dyDescent="0.25">
      <c r="A41" t="s">
        <v>105</v>
      </c>
      <c r="B41">
        <v>45893</v>
      </c>
      <c r="C41" t="s">
        <v>33</v>
      </c>
      <c r="D41" t="s">
        <v>63</v>
      </c>
      <c r="E41" t="s">
        <v>23</v>
      </c>
      <c r="F41" t="s">
        <v>24</v>
      </c>
      <c r="G41" t="s">
        <v>25</v>
      </c>
      <c r="H41" t="s">
        <v>41</v>
      </c>
      <c r="I41">
        <v>4</v>
      </c>
      <c r="J41">
        <v>52000</v>
      </c>
      <c r="K41">
        <v>0.15</v>
      </c>
      <c r="L41">
        <v>176800</v>
      </c>
      <c r="M41">
        <v>122384.08</v>
      </c>
      <c r="N41">
        <v>54415.92</v>
      </c>
    </row>
    <row r="42" spans="1:14" x14ac:dyDescent="0.25">
      <c r="A42" t="s">
        <v>106</v>
      </c>
      <c r="B42">
        <v>45693</v>
      </c>
      <c r="C42" t="s">
        <v>33</v>
      </c>
      <c r="D42" t="s">
        <v>63</v>
      </c>
      <c r="E42" t="s">
        <v>17</v>
      </c>
      <c r="F42" t="s">
        <v>18</v>
      </c>
      <c r="G42" t="s">
        <v>99</v>
      </c>
      <c r="H42" t="s">
        <v>55</v>
      </c>
      <c r="I42">
        <v>2</v>
      </c>
      <c r="J42">
        <v>14500</v>
      </c>
      <c r="K42">
        <v>0.1</v>
      </c>
      <c r="L42">
        <v>26100</v>
      </c>
      <c r="M42">
        <v>17207.34</v>
      </c>
      <c r="N42">
        <v>8892.66</v>
      </c>
    </row>
    <row r="43" spans="1:14" x14ac:dyDescent="0.25">
      <c r="A43" t="s">
        <v>107</v>
      </c>
      <c r="B43">
        <v>45793</v>
      </c>
      <c r="C43" t="s">
        <v>15</v>
      </c>
      <c r="D43" t="s">
        <v>16</v>
      </c>
      <c r="E43" t="s">
        <v>17</v>
      </c>
      <c r="F43" t="s">
        <v>18</v>
      </c>
      <c r="G43" t="s">
        <v>99</v>
      </c>
      <c r="H43" t="s">
        <v>41</v>
      </c>
      <c r="I43">
        <v>6</v>
      </c>
      <c r="J43">
        <v>14500</v>
      </c>
      <c r="K43">
        <v>0.15</v>
      </c>
      <c r="L43">
        <v>73950</v>
      </c>
      <c r="M43">
        <v>55711.41</v>
      </c>
      <c r="N43">
        <v>18238.59</v>
      </c>
    </row>
    <row r="44" spans="1:14" x14ac:dyDescent="0.25">
      <c r="A44" t="s">
        <v>108</v>
      </c>
      <c r="B44">
        <v>45919</v>
      </c>
      <c r="C44" t="s">
        <v>15</v>
      </c>
      <c r="D44" t="s">
        <v>22</v>
      </c>
      <c r="E44" t="s">
        <v>17</v>
      </c>
      <c r="F44" t="s">
        <v>78</v>
      </c>
      <c r="G44" t="s">
        <v>79</v>
      </c>
      <c r="H44" t="s">
        <v>55</v>
      </c>
      <c r="I44">
        <v>7</v>
      </c>
      <c r="J44">
        <v>250</v>
      </c>
      <c r="K44">
        <v>0</v>
      </c>
      <c r="L44">
        <v>1750</v>
      </c>
      <c r="M44">
        <v>1285.17</v>
      </c>
      <c r="N44">
        <v>464.83</v>
      </c>
    </row>
    <row r="45" spans="1:14" x14ac:dyDescent="0.25">
      <c r="A45" t="s">
        <v>109</v>
      </c>
      <c r="B45">
        <v>45933</v>
      </c>
      <c r="C45" t="s">
        <v>43</v>
      </c>
      <c r="D45" t="s">
        <v>44</v>
      </c>
      <c r="E45" t="s">
        <v>29</v>
      </c>
      <c r="F45" t="s">
        <v>47</v>
      </c>
      <c r="G45" t="s">
        <v>48</v>
      </c>
      <c r="H45" t="s">
        <v>37</v>
      </c>
      <c r="I45">
        <v>6</v>
      </c>
      <c r="J45">
        <v>4200</v>
      </c>
      <c r="K45">
        <v>0</v>
      </c>
      <c r="L45">
        <v>25200</v>
      </c>
      <c r="M45">
        <v>19614.32</v>
      </c>
      <c r="N45">
        <v>5585.68</v>
      </c>
    </row>
    <row r="46" spans="1:14" x14ac:dyDescent="0.25">
      <c r="A46" t="s">
        <v>110</v>
      </c>
      <c r="B46">
        <v>45811</v>
      </c>
      <c r="C46" t="s">
        <v>33</v>
      </c>
      <c r="D46" t="s">
        <v>73</v>
      </c>
      <c r="E46" t="s">
        <v>29</v>
      </c>
      <c r="F46" t="s">
        <v>30</v>
      </c>
      <c r="G46" t="s">
        <v>51</v>
      </c>
      <c r="H46" t="s">
        <v>37</v>
      </c>
      <c r="I46">
        <v>3</v>
      </c>
      <c r="J46">
        <v>25000</v>
      </c>
      <c r="K46">
        <v>0.05</v>
      </c>
      <c r="L46">
        <v>71250</v>
      </c>
      <c r="M46">
        <v>50765.5</v>
      </c>
      <c r="N46">
        <v>20484.5</v>
      </c>
    </row>
    <row r="47" spans="1:14" x14ac:dyDescent="0.25">
      <c r="A47" t="s">
        <v>111</v>
      </c>
      <c r="B47">
        <v>45852</v>
      </c>
      <c r="C47" t="s">
        <v>43</v>
      </c>
      <c r="D47" t="s">
        <v>44</v>
      </c>
      <c r="E47" t="s">
        <v>29</v>
      </c>
      <c r="F47" t="s">
        <v>47</v>
      </c>
      <c r="G47" t="s">
        <v>84</v>
      </c>
      <c r="H47" t="s">
        <v>37</v>
      </c>
      <c r="I47">
        <v>4</v>
      </c>
      <c r="J47">
        <v>10500</v>
      </c>
      <c r="K47">
        <v>0.15</v>
      </c>
      <c r="L47">
        <v>35700</v>
      </c>
      <c r="M47">
        <v>28305.35</v>
      </c>
      <c r="N47">
        <v>7394.65</v>
      </c>
    </row>
    <row r="48" spans="1:14" x14ac:dyDescent="0.25">
      <c r="A48" t="s">
        <v>112</v>
      </c>
      <c r="B48">
        <v>45968</v>
      </c>
      <c r="C48" t="s">
        <v>33</v>
      </c>
      <c r="D48" t="s">
        <v>73</v>
      </c>
      <c r="E48" t="s">
        <v>29</v>
      </c>
      <c r="F48" t="s">
        <v>30</v>
      </c>
      <c r="G48" t="s">
        <v>51</v>
      </c>
      <c r="H48" t="s">
        <v>20</v>
      </c>
      <c r="I48">
        <v>8</v>
      </c>
      <c r="J48">
        <v>25000</v>
      </c>
      <c r="K48">
        <v>0.05</v>
      </c>
      <c r="L48">
        <v>190000</v>
      </c>
      <c r="M48">
        <v>145339.96</v>
      </c>
      <c r="N48">
        <v>44660.04</v>
      </c>
    </row>
    <row r="49" spans="1:14" x14ac:dyDescent="0.25">
      <c r="A49" t="s">
        <v>113</v>
      </c>
      <c r="B49">
        <v>45803</v>
      </c>
      <c r="C49" t="s">
        <v>33</v>
      </c>
      <c r="D49" t="s">
        <v>34</v>
      </c>
      <c r="E49" t="s">
        <v>23</v>
      </c>
      <c r="F49" t="s">
        <v>39</v>
      </c>
      <c r="G49" t="s">
        <v>40</v>
      </c>
      <c r="H49" t="s">
        <v>20</v>
      </c>
      <c r="I49">
        <v>4</v>
      </c>
      <c r="J49">
        <v>1800</v>
      </c>
      <c r="K49">
        <v>0.05</v>
      </c>
      <c r="L49">
        <v>6840</v>
      </c>
      <c r="M49">
        <v>4277.5600000000004</v>
      </c>
      <c r="N49">
        <v>2562.44</v>
      </c>
    </row>
    <row r="50" spans="1:14" x14ac:dyDescent="0.25">
      <c r="A50" t="s">
        <v>114</v>
      </c>
      <c r="B50">
        <v>45783</v>
      </c>
      <c r="C50" t="s">
        <v>27</v>
      </c>
      <c r="D50" t="s">
        <v>61</v>
      </c>
      <c r="E50" t="s">
        <v>29</v>
      </c>
      <c r="F50" t="s">
        <v>30</v>
      </c>
      <c r="G50" t="s">
        <v>51</v>
      </c>
      <c r="H50" t="s">
        <v>70</v>
      </c>
      <c r="I50">
        <v>4</v>
      </c>
      <c r="J50">
        <v>25000</v>
      </c>
      <c r="K50">
        <v>0.15</v>
      </c>
      <c r="L50">
        <v>85000</v>
      </c>
      <c r="M50">
        <v>61944.85</v>
      </c>
      <c r="N50">
        <v>23055.15</v>
      </c>
    </row>
    <row r="51" spans="1:14" x14ac:dyDescent="0.25">
      <c r="A51" t="s">
        <v>115</v>
      </c>
      <c r="B51">
        <v>45782</v>
      </c>
      <c r="C51" t="s">
        <v>43</v>
      </c>
      <c r="D51" t="s">
        <v>53</v>
      </c>
      <c r="E51" t="s">
        <v>23</v>
      </c>
      <c r="F51" t="s">
        <v>35</v>
      </c>
      <c r="G51" t="s">
        <v>36</v>
      </c>
      <c r="H51" t="s">
        <v>20</v>
      </c>
      <c r="I51">
        <v>8</v>
      </c>
      <c r="J51">
        <v>26000</v>
      </c>
      <c r="K51">
        <v>0</v>
      </c>
      <c r="L51">
        <v>208000</v>
      </c>
      <c r="M51">
        <v>154466.89000000001</v>
      </c>
      <c r="N51">
        <v>53533.11</v>
      </c>
    </row>
    <row r="52" spans="1:14" x14ac:dyDescent="0.25">
      <c r="A52" t="s">
        <v>116</v>
      </c>
      <c r="B52">
        <v>45720</v>
      </c>
      <c r="C52" t="s">
        <v>27</v>
      </c>
      <c r="D52" t="s">
        <v>28</v>
      </c>
      <c r="E52" t="s">
        <v>29</v>
      </c>
      <c r="F52" t="s">
        <v>30</v>
      </c>
      <c r="G52" t="s">
        <v>54</v>
      </c>
      <c r="H52" t="s">
        <v>70</v>
      </c>
      <c r="I52">
        <v>7</v>
      </c>
      <c r="J52">
        <v>12000</v>
      </c>
      <c r="K52">
        <v>0.15</v>
      </c>
      <c r="L52">
        <v>71400</v>
      </c>
      <c r="M52">
        <v>58361.34</v>
      </c>
      <c r="N52">
        <v>13038.66</v>
      </c>
    </row>
    <row r="53" spans="1:14" x14ac:dyDescent="0.25">
      <c r="A53" t="s">
        <v>117</v>
      </c>
      <c r="B53">
        <v>45901</v>
      </c>
      <c r="C53" t="s">
        <v>27</v>
      </c>
      <c r="D53" t="s">
        <v>118</v>
      </c>
      <c r="E53" t="s">
        <v>23</v>
      </c>
      <c r="F53" t="s">
        <v>39</v>
      </c>
      <c r="G53" t="s">
        <v>40</v>
      </c>
      <c r="H53" t="s">
        <v>70</v>
      </c>
      <c r="I53">
        <v>8</v>
      </c>
      <c r="J53">
        <v>1800</v>
      </c>
      <c r="K53">
        <v>0.05</v>
      </c>
      <c r="L53">
        <v>13680</v>
      </c>
      <c r="M53">
        <v>9308.0300000000007</v>
      </c>
      <c r="N53">
        <v>4371.97</v>
      </c>
    </row>
    <row r="54" spans="1:14" x14ac:dyDescent="0.25">
      <c r="A54" t="s">
        <v>119</v>
      </c>
      <c r="B54">
        <v>45697</v>
      </c>
      <c r="C54" t="s">
        <v>33</v>
      </c>
      <c r="D54" t="s">
        <v>59</v>
      </c>
      <c r="E54" t="s">
        <v>29</v>
      </c>
      <c r="F54" t="s">
        <v>30</v>
      </c>
      <c r="G54" t="s">
        <v>54</v>
      </c>
      <c r="H54" t="s">
        <v>70</v>
      </c>
      <c r="I54">
        <v>2</v>
      </c>
      <c r="J54">
        <v>12000</v>
      </c>
      <c r="K54">
        <v>0.05</v>
      </c>
      <c r="L54">
        <v>22800</v>
      </c>
      <c r="M54">
        <v>14892.57</v>
      </c>
      <c r="N54">
        <v>7907.43</v>
      </c>
    </row>
    <row r="55" spans="1:14" x14ac:dyDescent="0.25">
      <c r="A55" t="s">
        <v>120</v>
      </c>
      <c r="B55">
        <v>45854</v>
      </c>
      <c r="C55" t="s">
        <v>43</v>
      </c>
      <c r="D55" t="s">
        <v>75</v>
      </c>
      <c r="E55" t="s">
        <v>23</v>
      </c>
      <c r="F55" t="s">
        <v>35</v>
      </c>
      <c r="G55" t="s">
        <v>64</v>
      </c>
      <c r="H55" t="s">
        <v>37</v>
      </c>
      <c r="I55">
        <v>8</v>
      </c>
      <c r="J55">
        <v>31000</v>
      </c>
      <c r="K55">
        <v>0.15</v>
      </c>
      <c r="L55">
        <v>210800</v>
      </c>
      <c r="M55">
        <v>133583.63</v>
      </c>
      <c r="N55">
        <v>77216.37</v>
      </c>
    </row>
    <row r="56" spans="1:14" x14ac:dyDescent="0.25">
      <c r="A56" t="s">
        <v>121</v>
      </c>
      <c r="B56">
        <v>45873</v>
      </c>
      <c r="C56" t="s">
        <v>27</v>
      </c>
      <c r="D56" t="s">
        <v>61</v>
      </c>
      <c r="E56" t="s">
        <v>17</v>
      </c>
      <c r="F56" t="s">
        <v>18</v>
      </c>
      <c r="G56" t="s">
        <v>99</v>
      </c>
      <c r="H56" t="s">
        <v>55</v>
      </c>
      <c r="I56">
        <v>6</v>
      </c>
      <c r="J56">
        <v>14500</v>
      </c>
      <c r="K56">
        <v>0.1</v>
      </c>
      <c r="L56">
        <v>78300</v>
      </c>
      <c r="M56">
        <v>61525.36</v>
      </c>
      <c r="N56">
        <v>16774.64</v>
      </c>
    </row>
    <row r="57" spans="1:14" x14ac:dyDescent="0.25">
      <c r="A57" t="s">
        <v>122</v>
      </c>
      <c r="B57">
        <v>45872</v>
      </c>
      <c r="C57" t="s">
        <v>43</v>
      </c>
      <c r="D57" t="s">
        <v>50</v>
      </c>
      <c r="E57" t="s">
        <v>23</v>
      </c>
      <c r="F57" t="s">
        <v>35</v>
      </c>
      <c r="G57" t="s">
        <v>64</v>
      </c>
      <c r="H57" t="s">
        <v>45</v>
      </c>
      <c r="I57">
        <v>1</v>
      </c>
      <c r="J57">
        <v>31000</v>
      </c>
      <c r="K57">
        <v>0.15</v>
      </c>
      <c r="L57">
        <v>26350</v>
      </c>
      <c r="M57">
        <v>18285.54</v>
      </c>
      <c r="N57">
        <v>8064.46</v>
      </c>
    </row>
    <row r="58" spans="1:14" x14ac:dyDescent="0.25">
      <c r="A58" t="s">
        <v>123</v>
      </c>
      <c r="B58">
        <v>46005</v>
      </c>
      <c r="C58" t="s">
        <v>27</v>
      </c>
      <c r="D58" t="s">
        <v>28</v>
      </c>
      <c r="E58" t="s">
        <v>29</v>
      </c>
      <c r="F58" t="s">
        <v>47</v>
      </c>
      <c r="G58" t="s">
        <v>48</v>
      </c>
      <c r="H58" t="s">
        <v>70</v>
      </c>
      <c r="I58">
        <v>1</v>
      </c>
      <c r="J58">
        <v>4200</v>
      </c>
      <c r="K58">
        <v>0.15</v>
      </c>
      <c r="L58">
        <v>3570</v>
      </c>
      <c r="M58">
        <v>2678.27</v>
      </c>
      <c r="N58">
        <v>891.73</v>
      </c>
    </row>
    <row r="59" spans="1:14" x14ac:dyDescent="0.25">
      <c r="A59" t="s">
        <v>124</v>
      </c>
      <c r="B59">
        <v>45997</v>
      </c>
      <c r="C59" t="s">
        <v>15</v>
      </c>
      <c r="D59" t="s">
        <v>16</v>
      </c>
      <c r="E59" t="s">
        <v>17</v>
      </c>
      <c r="F59" t="s">
        <v>18</v>
      </c>
      <c r="G59" t="s">
        <v>19</v>
      </c>
      <c r="H59" t="s">
        <v>45</v>
      </c>
      <c r="I59">
        <v>3</v>
      </c>
      <c r="J59">
        <v>8500</v>
      </c>
      <c r="K59">
        <v>0</v>
      </c>
      <c r="L59">
        <v>25500</v>
      </c>
      <c r="M59">
        <v>17269.48</v>
      </c>
      <c r="N59">
        <v>8230.52</v>
      </c>
    </row>
    <row r="60" spans="1:14" x14ac:dyDescent="0.25">
      <c r="A60" t="s">
        <v>125</v>
      </c>
      <c r="B60">
        <v>45825</v>
      </c>
      <c r="C60" t="s">
        <v>43</v>
      </c>
      <c r="D60" t="s">
        <v>50</v>
      </c>
      <c r="E60" t="s">
        <v>29</v>
      </c>
      <c r="F60" t="s">
        <v>30</v>
      </c>
      <c r="G60" t="s">
        <v>54</v>
      </c>
      <c r="H60" t="s">
        <v>37</v>
      </c>
      <c r="I60">
        <v>7</v>
      </c>
      <c r="J60">
        <v>12000</v>
      </c>
      <c r="K60">
        <v>0.1</v>
      </c>
      <c r="L60">
        <v>75600</v>
      </c>
      <c r="M60">
        <v>60758.239999999998</v>
      </c>
      <c r="N60">
        <v>14841.76</v>
      </c>
    </row>
    <row r="61" spans="1:14" x14ac:dyDescent="0.25">
      <c r="A61" t="s">
        <v>126</v>
      </c>
      <c r="B61">
        <v>45898</v>
      </c>
      <c r="C61" t="s">
        <v>15</v>
      </c>
      <c r="D61" t="s">
        <v>16</v>
      </c>
      <c r="E61" t="s">
        <v>29</v>
      </c>
      <c r="F61" t="s">
        <v>47</v>
      </c>
      <c r="G61" t="s">
        <v>48</v>
      </c>
      <c r="H61" t="s">
        <v>55</v>
      </c>
      <c r="I61">
        <v>1</v>
      </c>
      <c r="J61">
        <v>4200</v>
      </c>
      <c r="K61">
        <v>0</v>
      </c>
      <c r="L61">
        <v>4200</v>
      </c>
      <c r="M61">
        <v>3481.44</v>
      </c>
      <c r="N61">
        <v>718.56</v>
      </c>
    </row>
    <row r="62" spans="1:14" x14ac:dyDescent="0.25">
      <c r="A62" t="s">
        <v>127</v>
      </c>
      <c r="B62">
        <v>45760</v>
      </c>
      <c r="C62" t="s">
        <v>15</v>
      </c>
      <c r="D62" t="s">
        <v>128</v>
      </c>
      <c r="E62" t="s">
        <v>23</v>
      </c>
      <c r="F62" t="s">
        <v>24</v>
      </c>
      <c r="G62" t="s">
        <v>129</v>
      </c>
      <c r="H62" t="s">
        <v>41</v>
      </c>
      <c r="I62">
        <v>2</v>
      </c>
      <c r="J62">
        <v>58000</v>
      </c>
      <c r="K62">
        <v>0.05</v>
      </c>
      <c r="L62">
        <v>110200</v>
      </c>
      <c r="M62">
        <v>79598.28</v>
      </c>
      <c r="N62">
        <v>30601.72</v>
      </c>
    </row>
    <row r="63" spans="1:14" x14ac:dyDescent="0.25">
      <c r="A63" t="s">
        <v>130</v>
      </c>
      <c r="B63">
        <v>45789</v>
      </c>
      <c r="C63" t="s">
        <v>33</v>
      </c>
      <c r="D63" t="s">
        <v>59</v>
      </c>
      <c r="E63" t="s">
        <v>17</v>
      </c>
      <c r="F63" t="s">
        <v>78</v>
      </c>
      <c r="G63" t="s">
        <v>82</v>
      </c>
      <c r="H63" t="s">
        <v>37</v>
      </c>
      <c r="I63">
        <v>2</v>
      </c>
      <c r="J63">
        <v>450</v>
      </c>
      <c r="K63">
        <v>0</v>
      </c>
      <c r="L63">
        <v>900</v>
      </c>
      <c r="M63">
        <v>741.92</v>
      </c>
      <c r="N63">
        <v>158.08000000000001</v>
      </c>
    </row>
    <row r="64" spans="1:14" x14ac:dyDescent="0.25">
      <c r="A64" t="s">
        <v>131</v>
      </c>
      <c r="B64">
        <v>45952</v>
      </c>
      <c r="C64" t="s">
        <v>27</v>
      </c>
      <c r="D64" t="s">
        <v>57</v>
      </c>
      <c r="E64" t="s">
        <v>17</v>
      </c>
      <c r="F64" t="s">
        <v>78</v>
      </c>
      <c r="G64" t="s">
        <v>82</v>
      </c>
      <c r="H64" t="s">
        <v>70</v>
      </c>
      <c r="I64">
        <v>4</v>
      </c>
      <c r="J64">
        <v>450</v>
      </c>
      <c r="K64">
        <v>0</v>
      </c>
      <c r="L64">
        <v>1800</v>
      </c>
      <c r="M64">
        <v>1392.09</v>
      </c>
      <c r="N64">
        <v>407.91</v>
      </c>
    </row>
    <row r="65" spans="1:14" x14ac:dyDescent="0.25">
      <c r="A65" t="s">
        <v>132</v>
      </c>
      <c r="B65">
        <v>45812</v>
      </c>
      <c r="C65" t="s">
        <v>15</v>
      </c>
      <c r="D65" t="s">
        <v>16</v>
      </c>
      <c r="E65" t="s">
        <v>29</v>
      </c>
      <c r="F65" t="s">
        <v>30</v>
      </c>
      <c r="G65" t="s">
        <v>51</v>
      </c>
      <c r="H65" t="s">
        <v>37</v>
      </c>
      <c r="I65">
        <v>2</v>
      </c>
      <c r="J65">
        <v>25000</v>
      </c>
      <c r="K65">
        <v>0.1</v>
      </c>
      <c r="L65">
        <v>45000</v>
      </c>
      <c r="M65">
        <v>28025.26</v>
      </c>
      <c r="N65">
        <v>16974.740000000002</v>
      </c>
    </row>
    <row r="66" spans="1:14" x14ac:dyDescent="0.25">
      <c r="A66" t="s">
        <v>133</v>
      </c>
      <c r="B66">
        <v>45873</v>
      </c>
      <c r="C66" t="s">
        <v>27</v>
      </c>
      <c r="D66" t="s">
        <v>61</v>
      </c>
      <c r="E66" t="s">
        <v>29</v>
      </c>
      <c r="F66" t="s">
        <v>30</v>
      </c>
      <c r="G66" t="s">
        <v>51</v>
      </c>
      <c r="H66" t="s">
        <v>45</v>
      </c>
      <c r="I66">
        <v>3</v>
      </c>
      <c r="J66">
        <v>25000</v>
      </c>
      <c r="K66">
        <v>0.15</v>
      </c>
      <c r="L66">
        <v>63750</v>
      </c>
      <c r="M66">
        <v>41995.32</v>
      </c>
      <c r="N66">
        <v>21754.68</v>
      </c>
    </row>
    <row r="67" spans="1:14" x14ac:dyDescent="0.25">
      <c r="A67" t="s">
        <v>134</v>
      </c>
      <c r="B67">
        <v>45925</v>
      </c>
      <c r="C67" t="s">
        <v>33</v>
      </c>
      <c r="D67" t="s">
        <v>73</v>
      </c>
      <c r="E67" t="s">
        <v>29</v>
      </c>
      <c r="F67" t="s">
        <v>30</v>
      </c>
      <c r="G67" t="s">
        <v>51</v>
      </c>
      <c r="H67" t="s">
        <v>70</v>
      </c>
      <c r="I67">
        <v>5</v>
      </c>
      <c r="J67">
        <v>25000</v>
      </c>
      <c r="K67">
        <v>0.1</v>
      </c>
      <c r="L67">
        <v>112500</v>
      </c>
      <c r="M67">
        <v>90829.9</v>
      </c>
      <c r="N67">
        <v>21670.1</v>
      </c>
    </row>
    <row r="68" spans="1:14" x14ac:dyDescent="0.25">
      <c r="A68" t="s">
        <v>135</v>
      </c>
      <c r="B68">
        <v>45702</v>
      </c>
      <c r="C68" t="s">
        <v>33</v>
      </c>
      <c r="D68" t="s">
        <v>73</v>
      </c>
      <c r="E68" t="s">
        <v>23</v>
      </c>
      <c r="F68" t="s">
        <v>35</v>
      </c>
      <c r="G68" t="s">
        <v>136</v>
      </c>
      <c r="H68" t="s">
        <v>70</v>
      </c>
      <c r="I68">
        <v>7</v>
      </c>
      <c r="J68">
        <v>22000</v>
      </c>
      <c r="K68">
        <v>0.1</v>
      </c>
      <c r="L68">
        <v>138600</v>
      </c>
      <c r="M68">
        <v>86807.12</v>
      </c>
      <c r="N68">
        <v>51792.88</v>
      </c>
    </row>
    <row r="69" spans="1:14" x14ac:dyDescent="0.25">
      <c r="A69" t="s">
        <v>137</v>
      </c>
      <c r="B69">
        <v>45824</v>
      </c>
      <c r="C69" t="s">
        <v>43</v>
      </c>
      <c r="D69" t="s">
        <v>50</v>
      </c>
      <c r="E69" t="s">
        <v>23</v>
      </c>
      <c r="F69" t="s">
        <v>35</v>
      </c>
      <c r="G69" t="s">
        <v>64</v>
      </c>
      <c r="H69" t="s">
        <v>37</v>
      </c>
      <c r="I69">
        <v>5</v>
      </c>
      <c r="J69">
        <v>31000</v>
      </c>
      <c r="K69">
        <v>0.1</v>
      </c>
      <c r="L69">
        <v>139500</v>
      </c>
      <c r="M69">
        <v>103547.23</v>
      </c>
      <c r="N69">
        <v>35952.769999999997</v>
      </c>
    </row>
    <row r="70" spans="1:14" x14ac:dyDescent="0.25">
      <c r="A70" t="s">
        <v>138</v>
      </c>
      <c r="B70">
        <v>45922</v>
      </c>
      <c r="C70" t="s">
        <v>43</v>
      </c>
      <c r="D70" t="s">
        <v>53</v>
      </c>
      <c r="E70" t="s">
        <v>23</v>
      </c>
      <c r="F70" t="s">
        <v>39</v>
      </c>
      <c r="G70" t="s">
        <v>40</v>
      </c>
      <c r="H70" t="s">
        <v>45</v>
      </c>
      <c r="I70">
        <v>4</v>
      </c>
      <c r="J70">
        <v>1800</v>
      </c>
      <c r="K70">
        <v>0.15</v>
      </c>
      <c r="L70">
        <v>6120</v>
      </c>
      <c r="M70">
        <v>4664.04</v>
      </c>
      <c r="N70">
        <v>1455.96</v>
      </c>
    </row>
    <row r="71" spans="1:14" x14ac:dyDescent="0.25">
      <c r="A71" t="s">
        <v>139</v>
      </c>
      <c r="B71">
        <v>45909</v>
      </c>
      <c r="C71" t="s">
        <v>27</v>
      </c>
      <c r="D71" t="s">
        <v>61</v>
      </c>
      <c r="E71" t="s">
        <v>23</v>
      </c>
      <c r="F71" t="s">
        <v>35</v>
      </c>
      <c r="G71" t="s">
        <v>36</v>
      </c>
      <c r="H71" t="s">
        <v>45</v>
      </c>
      <c r="I71">
        <v>4</v>
      </c>
      <c r="J71">
        <v>26000</v>
      </c>
      <c r="K71">
        <v>0.1</v>
      </c>
      <c r="L71">
        <v>93600</v>
      </c>
      <c r="M71">
        <v>71704.259999999995</v>
      </c>
      <c r="N71">
        <v>21895.74</v>
      </c>
    </row>
    <row r="72" spans="1:14" x14ac:dyDescent="0.25">
      <c r="A72" t="s">
        <v>140</v>
      </c>
      <c r="B72">
        <v>45846</v>
      </c>
      <c r="C72" t="s">
        <v>27</v>
      </c>
      <c r="D72" t="s">
        <v>118</v>
      </c>
      <c r="E72" t="s">
        <v>29</v>
      </c>
      <c r="F72" t="s">
        <v>30</v>
      </c>
      <c r="G72" t="s">
        <v>54</v>
      </c>
      <c r="H72" t="s">
        <v>41</v>
      </c>
      <c r="I72">
        <v>8</v>
      </c>
      <c r="J72">
        <v>12000</v>
      </c>
      <c r="K72">
        <v>0.1</v>
      </c>
      <c r="L72">
        <v>86400</v>
      </c>
      <c r="M72">
        <v>59396.29</v>
      </c>
      <c r="N72">
        <v>27003.71</v>
      </c>
    </row>
    <row r="73" spans="1:14" x14ac:dyDescent="0.25">
      <c r="A73" t="s">
        <v>141</v>
      </c>
      <c r="B73">
        <v>45776</v>
      </c>
      <c r="C73" t="s">
        <v>15</v>
      </c>
      <c r="D73" t="s">
        <v>128</v>
      </c>
      <c r="E73" t="s">
        <v>29</v>
      </c>
      <c r="F73" t="s">
        <v>47</v>
      </c>
      <c r="G73" t="s">
        <v>48</v>
      </c>
      <c r="H73" t="s">
        <v>70</v>
      </c>
      <c r="I73">
        <v>3</v>
      </c>
      <c r="J73">
        <v>4200</v>
      </c>
      <c r="K73">
        <v>0.05</v>
      </c>
      <c r="L73">
        <v>11970</v>
      </c>
      <c r="M73">
        <v>7991.23</v>
      </c>
      <c r="N73">
        <v>3978.77</v>
      </c>
    </row>
    <row r="74" spans="1:14" x14ac:dyDescent="0.25">
      <c r="A74" t="s">
        <v>142</v>
      </c>
      <c r="B74">
        <v>45905</v>
      </c>
      <c r="C74" t="s">
        <v>33</v>
      </c>
      <c r="D74" t="s">
        <v>63</v>
      </c>
      <c r="E74" t="s">
        <v>23</v>
      </c>
      <c r="F74" t="s">
        <v>24</v>
      </c>
      <c r="G74" t="s">
        <v>129</v>
      </c>
      <c r="H74" t="s">
        <v>20</v>
      </c>
      <c r="I74">
        <v>6</v>
      </c>
      <c r="J74">
        <v>58000</v>
      </c>
      <c r="K74">
        <v>0.05</v>
      </c>
      <c r="L74">
        <v>330600</v>
      </c>
      <c r="M74">
        <v>226956.53</v>
      </c>
      <c r="N74">
        <v>103643.47</v>
      </c>
    </row>
    <row r="75" spans="1:14" x14ac:dyDescent="0.25">
      <c r="A75" t="s">
        <v>143</v>
      </c>
      <c r="B75">
        <v>46020</v>
      </c>
      <c r="C75" t="s">
        <v>43</v>
      </c>
      <c r="D75" t="s">
        <v>44</v>
      </c>
      <c r="E75" t="s">
        <v>23</v>
      </c>
      <c r="F75" t="s">
        <v>24</v>
      </c>
      <c r="G75" t="s">
        <v>76</v>
      </c>
      <c r="H75" t="s">
        <v>37</v>
      </c>
      <c r="I75">
        <v>3</v>
      </c>
      <c r="J75">
        <v>49000</v>
      </c>
      <c r="K75">
        <v>0.15</v>
      </c>
      <c r="L75">
        <v>124950</v>
      </c>
      <c r="M75">
        <v>80289.03</v>
      </c>
      <c r="N75">
        <v>44660.97</v>
      </c>
    </row>
    <row r="76" spans="1:14" x14ac:dyDescent="0.25">
      <c r="A76" t="s">
        <v>144</v>
      </c>
      <c r="B76">
        <v>45664</v>
      </c>
      <c r="C76" t="s">
        <v>33</v>
      </c>
      <c r="D76" t="s">
        <v>73</v>
      </c>
      <c r="E76" t="s">
        <v>29</v>
      </c>
      <c r="F76" t="s">
        <v>30</v>
      </c>
      <c r="G76" t="s">
        <v>54</v>
      </c>
      <c r="H76" t="s">
        <v>20</v>
      </c>
      <c r="I76">
        <v>1</v>
      </c>
      <c r="J76">
        <v>12000</v>
      </c>
      <c r="K76">
        <v>0.1</v>
      </c>
      <c r="L76">
        <v>10800</v>
      </c>
      <c r="M76">
        <v>8931.9699999999993</v>
      </c>
      <c r="N76">
        <v>1868.03</v>
      </c>
    </row>
    <row r="77" spans="1:14" x14ac:dyDescent="0.25">
      <c r="A77" t="s">
        <v>145</v>
      </c>
      <c r="B77">
        <v>45902</v>
      </c>
      <c r="C77" t="s">
        <v>15</v>
      </c>
      <c r="D77" t="s">
        <v>16</v>
      </c>
      <c r="E77" t="s">
        <v>29</v>
      </c>
      <c r="F77" t="s">
        <v>30</v>
      </c>
      <c r="G77" t="s">
        <v>31</v>
      </c>
      <c r="H77" t="s">
        <v>70</v>
      </c>
      <c r="I77">
        <v>1</v>
      </c>
      <c r="J77">
        <v>7000</v>
      </c>
      <c r="K77">
        <v>0.05</v>
      </c>
      <c r="L77">
        <v>6650</v>
      </c>
      <c r="M77">
        <v>4341.28</v>
      </c>
      <c r="N77">
        <v>2308.7199999999998</v>
      </c>
    </row>
    <row r="78" spans="1:14" x14ac:dyDescent="0.25">
      <c r="A78" t="s">
        <v>146</v>
      </c>
      <c r="B78">
        <v>45946</v>
      </c>
      <c r="C78" t="s">
        <v>33</v>
      </c>
      <c r="D78" t="s">
        <v>34</v>
      </c>
      <c r="E78" t="s">
        <v>23</v>
      </c>
      <c r="F78" t="s">
        <v>24</v>
      </c>
      <c r="G78" t="s">
        <v>76</v>
      </c>
      <c r="H78" t="s">
        <v>45</v>
      </c>
      <c r="I78">
        <v>4</v>
      </c>
      <c r="J78">
        <v>49000</v>
      </c>
      <c r="K78">
        <v>0.15</v>
      </c>
      <c r="L78">
        <v>166600</v>
      </c>
      <c r="M78">
        <v>119804.26</v>
      </c>
      <c r="N78">
        <v>46795.74</v>
      </c>
    </row>
    <row r="79" spans="1:14" x14ac:dyDescent="0.25">
      <c r="A79" t="s">
        <v>147</v>
      </c>
      <c r="B79">
        <v>45884</v>
      </c>
      <c r="C79" t="s">
        <v>33</v>
      </c>
      <c r="D79" t="s">
        <v>73</v>
      </c>
      <c r="E79" t="s">
        <v>29</v>
      </c>
      <c r="F79" t="s">
        <v>47</v>
      </c>
      <c r="G79" t="s">
        <v>48</v>
      </c>
      <c r="H79" t="s">
        <v>41</v>
      </c>
      <c r="I79">
        <v>2</v>
      </c>
      <c r="J79">
        <v>4200</v>
      </c>
      <c r="K79">
        <v>0.05</v>
      </c>
      <c r="L79">
        <v>7980</v>
      </c>
      <c r="M79">
        <v>6045.75</v>
      </c>
      <c r="N79">
        <v>1934.25</v>
      </c>
    </row>
    <row r="80" spans="1:14" x14ac:dyDescent="0.25">
      <c r="A80" t="s">
        <v>148</v>
      </c>
      <c r="B80">
        <v>45793</v>
      </c>
      <c r="C80" t="s">
        <v>15</v>
      </c>
      <c r="D80" t="s">
        <v>128</v>
      </c>
      <c r="E80" t="s">
        <v>23</v>
      </c>
      <c r="F80" t="s">
        <v>24</v>
      </c>
      <c r="G80" t="s">
        <v>76</v>
      </c>
      <c r="H80" t="s">
        <v>55</v>
      </c>
      <c r="I80">
        <v>3</v>
      </c>
      <c r="J80">
        <v>49000</v>
      </c>
      <c r="K80">
        <v>0</v>
      </c>
      <c r="L80">
        <v>147000</v>
      </c>
      <c r="M80">
        <v>104351.46</v>
      </c>
      <c r="N80">
        <v>42648.54</v>
      </c>
    </row>
    <row r="81" spans="1:14" x14ac:dyDescent="0.25">
      <c r="A81" t="s">
        <v>149</v>
      </c>
      <c r="B81">
        <v>46010</v>
      </c>
      <c r="C81" t="s">
        <v>27</v>
      </c>
      <c r="D81" t="s">
        <v>118</v>
      </c>
      <c r="E81" t="s">
        <v>23</v>
      </c>
      <c r="F81" t="s">
        <v>24</v>
      </c>
      <c r="G81" t="s">
        <v>129</v>
      </c>
      <c r="H81" t="s">
        <v>41</v>
      </c>
      <c r="I81">
        <v>5</v>
      </c>
      <c r="J81">
        <v>58000</v>
      </c>
      <c r="K81">
        <v>0.15</v>
      </c>
      <c r="L81">
        <v>246500</v>
      </c>
      <c r="M81">
        <v>156690.07999999999</v>
      </c>
      <c r="N81">
        <v>89809.919999999998</v>
      </c>
    </row>
    <row r="82" spans="1:14" x14ac:dyDescent="0.25">
      <c r="A82" t="s">
        <v>150</v>
      </c>
      <c r="B82">
        <v>45777</v>
      </c>
      <c r="C82" t="s">
        <v>33</v>
      </c>
      <c r="D82" t="s">
        <v>59</v>
      </c>
      <c r="E82" t="s">
        <v>29</v>
      </c>
      <c r="F82" t="s">
        <v>47</v>
      </c>
      <c r="G82" t="s">
        <v>48</v>
      </c>
      <c r="H82" t="s">
        <v>20</v>
      </c>
      <c r="I82">
        <v>3</v>
      </c>
      <c r="J82">
        <v>4200</v>
      </c>
      <c r="K82">
        <v>0.1</v>
      </c>
      <c r="L82">
        <v>11340</v>
      </c>
      <c r="M82">
        <v>9093.08</v>
      </c>
      <c r="N82">
        <v>2246.92</v>
      </c>
    </row>
    <row r="83" spans="1:14" x14ac:dyDescent="0.25">
      <c r="A83" t="s">
        <v>151</v>
      </c>
      <c r="B83">
        <v>45694</v>
      </c>
      <c r="C83" t="s">
        <v>15</v>
      </c>
      <c r="D83" t="s">
        <v>128</v>
      </c>
      <c r="E83" t="s">
        <v>29</v>
      </c>
      <c r="F83" t="s">
        <v>30</v>
      </c>
      <c r="G83" t="s">
        <v>54</v>
      </c>
      <c r="H83" t="s">
        <v>55</v>
      </c>
      <c r="I83">
        <v>8</v>
      </c>
      <c r="J83">
        <v>12000</v>
      </c>
      <c r="K83">
        <v>0.1</v>
      </c>
      <c r="L83">
        <v>86400</v>
      </c>
      <c r="M83">
        <v>66868.539999999994</v>
      </c>
      <c r="N83">
        <v>19531.46</v>
      </c>
    </row>
    <row r="84" spans="1:14" x14ac:dyDescent="0.25">
      <c r="A84" t="s">
        <v>152</v>
      </c>
      <c r="B84">
        <v>45797</v>
      </c>
      <c r="C84" t="s">
        <v>27</v>
      </c>
      <c r="D84" t="s">
        <v>57</v>
      </c>
      <c r="E84" t="s">
        <v>23</v>
      </c>
      <c r="F84" t="s">
        <v>39</v>
      </c>
      <c r="G84" t="s">
        <v>89</v>
      </c>
      <c r="H84" t="s">
        <v>45</v>
      </c>
      <c r="I84">
        <v>6</v>
      </c>
      <c r="J84">
        <v>1200</v>
      </c>
      <c r="K84">
        <v>0.1</v>
      </c>
      <c r="L84">
        <v>6480</v>
      </c>
      <c r="M84">
        <v>4054.47</v>
      </c>
      <c r="N84">
        <v>2425.5300000000002</v>
      </c>
    </row>
    <row r="85" spans="1:14" x14ac:dyDescent="0.25">
      <c r="A85" t="s">
        <v>153</v>
      </c>
      <c r="B85">
        <v>45775</v>
      </c>
      <c r="C85" t="s">
        <v>15</v>
      </c>
      <c r="D85" t="s">
        <v>67</v>
      </c>
      <c r="E85" t="s">
        <v>17</v>
      </c>
      <c r="F85" t="s">
        <v>78</v>
      </c>
      <c r="G85" t="s">
        <v>82</v>
      </c>
      <c r="H85" t="s">
        <v>45</v>
      </c>
      <c r="I85">
        <v>8</v>
      </c>
      <c r="J85">
        <v>450</v>
      </c>
      <c r="K85">
        <v>0.1</v>
      </c>
      <c r="L85">
        <v>3240</v>
      </c>
      <c r="M85">
        <v>2138.17</v>
      </c>
      <c r="N85">
        <v>1101.83</v>
      </c>
    </row>
    <row r="86" spans="1:14" x14ac:dyDescent="0.25">
      <c r="A86" t="s">
        <v>154</v>
      </c>
      <c r="B86">
        <v>45957</v>
      </c>
      <c r="C86" t="s">
        <v>27</v>
      </c>
      <c r="D86" t="s">
        <v>57</v>
      </c>
      <c r="E86" t="s">
        <v>23</v>
      </c>
      <c r="F86" t="s">
        <v>35</v>
      </c>
      <c r="G86" t="s">
        <v>64</v>
      </c>
      <c r="H86" t="s">
        <v>45</v>
      </c>
      <c r="I86">
        <v>6</v>
      </c>
      <c r="J86">
        <v>31000</v>
      </c>
      <c r="K86">
        <v>0.1</v>
      </c>
      <c r="L86">
        <v>167400</v>
      </c>
      <c r="M86">
        <v>128467.68</v>
      </c>
      <c r="N86">
        <v>38932.32</v>
      </c>
    </row>
    <row r="87" spans="1:14" x14ac:dyDescent="0.25">
      <c r="A87" t="s">
        <v>155</v>
      </c>
      <c r="B87">
        <v>45740</v>
      </c>
      <c r="C87" t="s">
        <v>33</v>
      </c>
      <c r="D87" t="s">
        <v>73</v>
      </c>
      <c r="E87" t="s">
        <v>17</v>
      </c>
      <c r="F87" t="s">
        <v>18</v>
      </c>
      <c r="G87" t="s">
        <v>99</v>
      </c>
      <c r="H87" t="s">
        <v>41</v>
      </c>
      <c r="I87">
        <v>7</v>
      </c>
      <c r="J87">
        <v>14500</v>
      </c>
      <c r="K87">
        <v>0</v>
      </c>
      <c r="L87">
        <v>101500</v>
      </c>
      <c r="M87">
        <v>73086.259999999995</v>
      </c>
      <c r="N87">
        <v>28413.74</v>
      </c>
    </row>
    <row r="88" spans="1:14" x14ac:dyDescent="0.25">
      <c r="A88" t="s">
        <v>156</v>
      </c>
      <c r="B88">
        <v>45819</v>
      </c>
      <c r="C88" t="s">
        <v>33</v>
      </c>
      <c r="D88" t="s">
        <v>63</v>
      </c>
      <c r="E88" t="s">
        <v>23</v>
      </c>
      <c r="F88" t="s">
        <v>35</v>
      </c>
      <c r="G88" t="s">
        <v>136</v>
      </c>
      <c r="H88" t="s">
        <v>55</v>
      </c>
      <c r="I88">
        <v>8</v>
      </c>
      <c r="J88">
        <v>22000</v>
      </c>
      <c r="K88">
        <v>0.15</v>
      </c>
      <c r="L88">
        <v>149600</v>
      </c>
      <c r="M88">
        <v>94535.96</v>
      </c>
      <c r="N88">
        <v>55064.04</v>
      </c>
    </row>
    <row r="89" spans="1:14" x14ac:dyDescent="0.25">
      <c r="A89" t="s">
        <v>157</v>
      </c>
      <c r="B89">
        <v>45923</v>
      </c>
      <c r="C89" t="s">
        <v>33</v>
      </c>
      <c r="D89" t="s">
        <v>73</v>
      </c>
      <c r="E89" t="s">
        <v>17</v>
      </c>
      <c r="F89" t="s">
        <v>18</v>
      </c>
      <c r="G89" t="s">
        <v>19</v>
      </c>
      <c r="H89" t="s">
        <v>20</v>
      </c>
      <c r="I89">
        <v>5</v>
      </c>
      <c r="J89">
        <v>8500</v>
      </c>
      <c r="K89">
        <v>0.05</v>
      </c>
      <c r="L89">
        <v>40375</v>
      </c>
      <c r="M89">
        <v>33272.550000000003</v>
      </c>
      <c r="N89">
        <v>7102.45</v>
      </c>
    </row>
    <row r="90" spans="1:14" x14ac:dyDescent="0.25">
      <c r="A90" t="s">
        <v>158</v>
      </c>
      <c r="B90">
        <v>45882</v>
      </c>
      <c r="C90" t="s">
        <v>27</v>
      </c>
      <c r="D90" t="s">
        <v>61</v>
      </c>
      <c r="E90" t="s">
        <v>23</v>
      </c>
      <c r="F90" t="s">
        <v>39</v>
      </c>
      <c r="G90" t="s">
        <v>93</v>
      </c>
      <c r="H90" t="s">
        <v>20</v>
      </c>
      <c r="I90">
        <v>3</v>
      </c>
      <c r="J90">
        <v>2500</v>
      </c>
      <c r="K90">
        <v>0.1</v>
      </c>
      <c r="L90">
        <v>6750</v>
      </c>
      <c r="M90">
        <v>5003</v>
      </c>
      <c r="N90">
        <v>1747</v>
      </c>
    </row>
    <row r="91" spans="1:14" x14ac:dyDescent="0.25">
      <c r="A91" t="s">
        <v>159</v>
      </c>
      <c r="B91">
        <v>45940</v>
      </c>
      <c r="C91" t="s">
        <v>27</v>
      </c>
      <c r="D91" t="s">
        <v>61</v>
      </c>
      <c r="E91" t="s">
        <v>23</v>
      </c>
      <c r="F91" t="s">
        <v>24</v>
      </c>
      <c r="G91" t="s">
        <v>129</v>
      </c>
      <c r="H91" t="s">
        <v>55</v>
      </c>
      <c r="I91">
        <v>3</v>
      </c>
      <c r="J91">
        <v>58000</v>
      </c>
      <c r="K91">
        <v>0.15</v>
      </c>
      <c r="L91">
        <v>147900</v>
      </c>
      <c r="M91">
        <v>122044.67</v>
      </c>
      <c r="N91">
        <v>25855.33</v>
      </c>
    </row>
    <row r="92" spans="1:14" x14ac:dyDescent="0.25">
      <c r="A92" t="s">
        <v>160</v>
      </c>
      <c r="B92">
        <v>45807</v>
      </c>
      <c r="C92" t="s">
        <v>33</v>
      </c>
      <c r="D92" t="s">
        <v>73</v>
      </c>
      <c r="E92" t="s">
        <v>29</v>
      </c>
      <c r="F92" t="s">
        <v>30</v>
      </c>
      <c r="G92" t="s">
        <v>31</v>
      </c>
      <c r="H92" t="s">
        <v>45</v>
      </c>
      <c r="I92">
        <v>3</v>
      </c>
      <c r="J92">
        <v>7000</v>
      </c>
      <c r="K92">
        <v>0.15</v>
      </c>
      <c r="L92">
        <v>17850</v>
      </c>
      <c r="M92">
        <v>11815.53</v>
      </c>
      <c r="N92">
        <v>6034.47</v>
      </c>
    </row>
    <row r="93" spans="1:14" x14ac:dyDescent="0.25">
      <c r="A93" t="s">
        <v>161</v>
      </c>
      <c r="B93">
        <v>45964</v>
      </c>
      <c r="C93" t="s">
        <v>43</v>
      </c>
      <c r="D93" t="s">
        <v>53</v>
      </c>
      <c r="E93" t="s">
        <v>29</v>
      </c>
      <c r="F93" t="s">
        <v>30</v>
      </c>
      <c r="G93" t="s">
        <v>54</v>
      </c>
      <c r="H93" t="s">
        <v>70</v>
      </c>
      <c r="I93">
        <v>5</v>
      </c>
      <c r="J93">
        <v>12000</v>
      </c>
      <c r="K93">
        <v>0</v>
      </c>
      <c r="L93">
        <v>60000</v>
      </c>
      <c r="M93">
        <v>40933.47</v>
      </c>
      <c r="N93">
        <v>19066.53</v>
      </c>
    </row>
    <row r="94" spans="1:14" x14ac:dyDescent="0.25">
      <c r="A94" t="s">
        <v>162</v>
      </c>
      <c r="B94">
        <v>45810</v>
      </c>
      <c r="C94" t="s">
        <v>27</v>
      </c>
      <c r="D94" t="s">
        <v>28</v>
      </c>
      <c r="E94" t="s">
        <v>29</v>
      </c>
      <c r="F94" t="s">
        <v>30</v>
      </c>
      <c r="G94" t="s">
        <v>54</v>
      </c>
      <c r="H94" t="s">
        <v>37</v>
      </c>
      <c r="I94">
        <v>7</v>
      </c>
      <c r="J94">
        <v>12000</v>
      </c>
      <c r="K94">
        <v>0.15</v>
      </c>
      <c r="L94">
        <v>71400</v>
      </c>
      <c r="M94">
        <v>58921.24</v>
      </c>
      <c r="N94">
        <v>12478.76</v>
      </c>
    </row>
    <row r="95" spans="1:14" x14ac:dyDescent="0.25">
      <c r="A95" t="s">
        <v>163</v>
      </c>
      <c r="B95">
        <v>45754</v>
      </c>
      <c r="C95" t="s">
        <v>43</v>
      </c>
      <c r="D95" t="s">
        <v>50</v>
      </c>
      <c r="E95" t="s">
        <v>23</v>
      </c>
      <c r="F95" t="s">
        <v>35</v>
      </c>
      <c r="G95" t="s">
        <v>36</v>
      </c>
      <c r="H95" t="s">
        <v>37</v>
      </c>
      <c r="I95">
        <v>8</v>
      </c>
      <c r="J95">
        <v>26000</v>
      </c>
      <c r="K95">
        <v>0.15</v>
      </c>
      <c r="L95">
        <v>176800</v>
      </c>
      <c r="M95">
        <v>124632.92</v>
      </c>
      <c r="N95">
        <v>52167.08</v>
      </c>
    </row>
    <row r="96" spans="1:14" x14ac:dyDescent="0.25">
      <c r="A96" t="s">
        <v>164</v>
      </c>
      <c r="B96">
        <v>45997</v>
      </c>
      <c r="C96" t="s">
        <v>43</v>
      </c>
      <c r="D96" t="s">
        <v>50</v>
      </c>
      <c r="E96" t="s">
        <v>23</v>
      </c>
      <c r="F96" t="s">
        <v>24</v>
      </c>
      <c r="G96" t="s">
        <v>76</v>
      </c>
      <c r="H96" t="s">
        <v>70</v>
      </c>
      <c r="I96">
        <v>6</v>
      </c>
      <c r="J96">
        <v>49000</v>
      </c>
      <c r="K96">
        <v>0</v>
      </c>
      <c r="L96">
        <v>294000</v>
      </c>
      <c r="M96">
        <v>238822.63</v>
      </c>
      <c r="N96">
        <v>55177.37</v>
      </c>
    </row>
    <row r="97" spans="1:14" x14ac:dyDescent="0.25">
      <c r="A97" t="s">
        <v>165</v>
      </c>
      <c r="B97">
        <v>45883</v>
      </c>
      <c r="C97" t="s">
        <v>15</v>
      </c>
      <c r="D97" t="s">
        <v>22</v>
      </c>
      <c r="E97" t="s">
        <v>23</v>
      </c>
      <c r="F97" t="s">
        <v>39</v>
      </c>
      <c r="G97" t="s">
        <v>89</v>
      </c>
      <c r="H97" t="s">
        <v>45</v>
      </c>
      <c r="I97">
        <v>3</v>
      </c>
      <c r="J97">
        <v>1200</v>
      </c>
      <c r="K97">
        <v>0</v>
      </c>
      <c r="L97">
        <v>3600</v>
      </c>
      <c r="M97">
        <v>2603.84</v>
      </c>
      <c r="N97">
        <v>996.16</v>
      </c>
    </row>
    <row r="98" spans="1:14" x14ac:dyDescent="0.25">
      <c r="A98" t="s">
        <v>166</v>
      </c>
      <c r="B98">
        <v>45793</v>
      </c>
      <c r="C98" t="s">
        <v>33</v>
      </c>
      <c r="D98" t="s">
        <v>73</v>
      </c>
      <c r="E98" t="s">
        <v>17</v>
      </c>
      <c r="F98" t="s">
        <v>78</v>
      </c>
      <c r="G98" t="s">
        <v>79</v>
      </c>
      <c r="H98" t="s">
        <v>41</v>
      </c>
      <c r="I98">
        <v>7</v>
      </c>
      <c r="J98">
        <v>250</v>
      </c>
      <c r="K98">
        <v>0.1</v>
      </c>
      <c r="L98">
        <v>1575</v>
      </c>
      <c r="M98">
        <v>1193.69</v>
      </c>
      <c r="N98">
        <v>381.31</v>
      </c>
    </row>
    <row r="99" spans="1:14" x14ac:dyDescent="0.25">
      <c r="A99" t="s">
        <v>167</v>
      </c>
      <c r="B99">
        <v>45907</v>
      </c>
      <c r="C99" t="s">
        <v>15</v>
      </c>
      <c r="D99" t="s">
        <v>16</v>
      </c>
      <c r="E99" t="s">
        <v>23</v>
      </c>
      <c r="F99" t="s">
        <v>39</v>
      </c>
      <c r="G99" t="s">
        <v>93</v>
      </c>
      <c r="H99" t="s">
        <v>37</v>
      </c>
      <c r="I99">
        <v>4</v>
      </c>
      <c r="J99">
        <v>2500</v>
      </c>
      <c r="K99">
        <v>0</v>
      </c>
      <c r="L99">
        <v>10000</v>
      </c>
      <c r="M99">
        <v>7154.74</v>
      </c>
      <c r="N99">
        <v>2845.26</v>
      </c>
    </row>
    <row r="100" spans="1:14" x14ac:dyDescent="0.25">
      <c r="A100" t="s">
        <v>168</v>
      </c>
      <c r="B100">
        <v>45708</v>
      </c>
      <c r="C100" t="s">
        <v>15</v>
      </c>
      <c r="D100" t="s">
        <v>22</v>
      </c>
      <c r="E100" t="s">
        <v>23</v>
      </c>
      <c r="F100" t="s">
        <v>39</v>
      </c>
      <c r="G100" t="s">
        <v>40</v>
      </c>
      <c r="H100" t="s">
        <v>55</v>
      </c>
      <c r="I100">
        <v>1</v>
      </c>
      <c r="J100">
        <v>1800</v>
      </c>
      <c r="K100">
        <v>0.1</v>
      </c>
      <c r="L100">
        <v>1620</v>
      </c>
      <c r="M100">
        <v>1288.1500000000001</v>
      </c>
      <c r="N100">
        <v>331.85</v>
      </c>
    </row>
    <row r="101" spans="1:14" x14ac:dyDescent="0.25">
      <c r="A101" t="s">
        <v>169</v>
      </c>
      <c r="B101">
        <v>45808</v>
      </c>
      <c r="C101" t="s">
        <v>33</v>
      </c>
      <c r="D101" t="s">
        <v>63</v>
      </c>
      <c r="E101" t="s">
        <v>29</v>
      </c>
      <c r="F101" t="s">
        <v>47</v>
      </c>
      <c r="G101" t="s">
        <v>68</v>
      </c>
      <c r="H101" t="s">
        <v>70</v>
      </c>
      <c r="I101">
        <v>7</v>
      </c>
      <c r="J101">
        <v>6500</v>
      </c>
      <c r="K101">
        <v>0.05</v>
      </c>
      <c r="L101">
        <v>43225</v>
      </c>
      <c r="M101">
        <v>28415.96</v>
      </c>
      <c r="N101">
        <v>14809.04</v>
      </c>
    </row>
    <row r="102" spans="1:14" x14ac:dyDescent="0.25">
      <c r="A102" t="s">
        <v>170</v>
      </c>
      <c r="B102">
        <v>45698</v>
      </c>
      <c r="C102" t="s">
        <v>27</v>
      </c>
      <c r="D102" t="s">
        <v>28</v>
      </c>
      <c r="E102" t="s">
        <v>29</v>
      </c>
      <c r="F102" t="s">
        <v>47</v>
      </c>
      <c r="G102" t="s">
        <v>68</v>
      </c>
      <c r="H102" t="s">
        <v>45</v>
      </c>
      <c r="I102">
        <v>5</v>
      </c>
      <c r="J102">
        <v>6500</v>
      </c>
      <c r="K102">
        <v>0.15</v>
      </c>
      <c r="L102">
        <v>27625</v>
      </c>
      <c r="M102">
        <v>18679.25</v>
      </c>
      <c r="N102">
        <v>8945.75</v>
      </c>
    </row>
    <row r="103" spans="1:14" x14ac:dyDescent="0.25">
      <c r="A103" t="s">
        <v>171</v>
      </c>
      <c r="B103">
        <v>45662</v>
      </c>
      <c r="C103" t="s">
        <v>27</v>
      </c>
      <c r="D103" t="s">
        <v>118</v>
      </c>
      <c r="E103" t="s">
        <v>17</v>
      </c>
      <c r="F103" t="s">
        <v>78</v>
      </c>
      <c r="G103" t="s">
        <v>82</v>
      </c>
      <c r="H103" t="s">
        <v>45</v>
      </c>
      <c r="I103">
        <v>6</v>
      </c>
      <c r="J103">
        <v>450</v>
      </c>
      <c r="K103">
        <v>0.1</v>
      </c>
      <c r="L103">
        <v>2430</v>
      </c>
      <c r="M103">
        <v>1848.18</v>
      </c>
      <c r="N103">
        <v>581.82000000000005</v>
      </c>
    </row>
    <row r="104" spans="1:14" x14ac:dyDescent="0.25">
      <c r="A104" t="s">
        <v>172</v>
      </c>
      <c r="B104">
        <v>45875</v>
      </c>
      <c r="C104" t="s">
        <v>33</v>
      </c>
      <c r="D104" t="s">
        <v>73</v>
      </c>
      <c r="E104" t="s">
        <v>29</v>
      </c>
      <c r="F104" t="s">
        <v>47</v>
      </c>
      <c r="G104" t="s">
        <v>84</v>
      </c>
      <c r="H104" t="s">
        <v>45</v>
      </c>
      <c r="I104">
        <v>2</v>
      </c>
      <c r="J104">
        <v>10500</v>
      </c>
      <c r="K104">
        <v>0.05</v>
      </c>
      <c r="L104">
        <v>19950</v>
      </c>
      <c r="M104">
        <v>14042.81</v>
      </c>
      <c r="N104">
        <v>5907.19</v>
      </c>
    </row>
    <row r="105" spans="1:14" x14ac:dyDescent="0.25">
      <c r="A105" t="s">
        <v>173</v>
      </c>
      <c r="B105">
        <v>45841</v>
      </c>
      <c r="C105" t="s">
        <v>33</v>
      </c>
      <c r="D105" t="s">
        <v>63</v>
      </c>
      <c r="E105" t="s">
        <v>23</v>
      </c>
      <c r="F105" t="s">
        <v>39</v>
      </c>
      <c r="G105" t="s">
        <v>40</v>
      </c>
      <c r="H105" t="s">
        <v>37</v>
      </c>
      <c r="I105">
        <v>1</v>
      </c>
      <c r="J105">
        <v>1800</v>
      </c>
      <c r="K105">
        <v>0</v>
      </c>
      <c r="L105">
        <v>1800</v>
      </c>
      <c r="M105">
        <v>1476.6</v>
      </c>
      <c r="N105">
        <v>323.39999999999998</v>
      </c>
    </row>
    <row r="106" spans="1:14" x14ac:dyDescent="0.25">
      <c r="A106" t="s">
        <v>174</v>
      </c>
      <c r="B106">
        <v>45912</v>
      </c>
      <c r="C106" t="s">
        <v>33</v>
      </c>
      <c r="D106" t="s">
        <v>59</v>
      </c>
      <c r="E106" t="s">
        <v>17</v>
      </c>
      <c r="F106" t="s">
        <v>18</v>
      </c>
      <c r="G106" t="s">
        <v>19</v>
      </c>
      <c r="H106" t="s">
        <v>41</v>
      </c>
      <c r="I106">
        <v>4</v>
      </c>
      <c r="J106">
        <v>8500</v>
      </c>
      <c r="K106">
        <v>0.1</v>
      </c>
      <c r="L106">
        <v>30600</v>
      </c>
      <c r="M106">
        <v>23534.71</v>
      </c>
      <c r="N106">
        <v>7065.29</v>
      </c>
    </row>
    <row r="107" spans="1:14" x14ac:dyDescent="0.25">
      <c r="A107" t="s">
        <v>175</v>
      </c>
      <c r="B107">
        <v>45995</v>
      </c>
      <c r="C107" t="s">
        <v>43</v>
      </c>
      <c r="D107" t="s">
        <v>53</v>
      </c>
      <c r="E107" t="s">
        <v>17</v>
      </c>
      <c r="F107" t="s">
        <v>78</v>
      </c>
      <c r="G107" t="s">
        <v>79</v>
      </c>
      <c r="H107" t="s">
        <v>45</v>
      </c>
      <c r="I107">
        <v>1</v>
      </c>
      <c r="J107">
        <v>250</v>
      </c>
      <c r="K107">
        <v>0.1</v>
      </c>
      <c r="L107">
        <v>225</v>
      </c>
      <c r="M107">
        <v>175.75</v>
      </c>
      <c r="N107">
        <v>49.25</v>
      </c>
    </row>
    <row r="108" spans="1:14" x14ac:dyDescent="0.25">
      <c r="A108" t="s">
        <v>176</v>
      </c>
      <c r="B108">
        <v>45704</v>
      </c>
      <c r="C108" t="s">
        <v>33</v>
      </c>
      <c r="D108" t="s">
        <v>63</v>
      </c>
      <c r="E108" t="s">
        <v>17</v>
      </c>
      <c r="F108" t="s">
        <v>18</v>
      </c>
      <c r="G108" t="s">
        <v>19</v>
      </c>
      <c r="H108" t="s">
        <v>20</v>
      </c>
      <c r="I108">
        <v>3</v>
      </c>
      <c r="J108">
        <v>8500</v>
      </c>
      <c r="K108">
        <v>0.1</v>
      </c>
      <c r="L108">
        <v>22950</v>
      </c>
      <c r="M108">
        <v>16909.27</v>
      </c>
      <c r="N108">
        <v>6040.73</v>
      </c>
    </row>
    <row r="109" spans="1:14" x14ac:dyDescent="0.25">
      <c r="A109" t="s">
        <v>177</v>
      </c>
      <c r="B109">
        <v>45797</v>
      </c>
      <c r="C109" t="s">
        <v>43</v>
      </c>
      <c r="D109" t="s">
        <v>44</v>
      </c>
      <c r="E109" t="s">
        <v>29</v>
      </c>
      <c r="F109" t="s">
        <v>30</v>
      </c>
      <c r="G109" t="s">
        <v>51</v>
      </c>
      <c r="H109" t="s">
        <v>37</v>
      </c>
      <c r="I109">
        <v>2</v>
      </c>
      <c r="J109">
        <v>25000</v>
      </c>
      <c r="K109">
        <v>0.15</v>
      </c>
      <c r="L109">
        <v>42500</v>
      </c>
      <c r="M109">
        <v>35353.050000000003</v>
      </c>
      <c r="N109">
        <v>7146.95</v>
      </c>
    </row>
    <row r="110" spans="1:14" x14ac:dyDescent="0.25">
      <c r="A110" t="s">
        <v>178</v>
      </c>
      <c r="B110">
        <v>45730</v>
      </c>
      <c r="C110" t="s">
        <v>43</v>
      </c>
      <c r="D110" t="s">
        <v>50</v>
      </c>
      <c r="E110" t="s">
        <v>17</v>
      </c>
      <c r="F110" t="s">
        <v>18</v>
      </c>
      <c r="G110" t="s">
        <v>19</v>
      </c>
      <c r="H110" t="s">
        <v>45</v>
      </c>
      <c r="I110">
        <v>1</v>
      </c>
      <c r="J110">
        <v>8500</v>
      </c>
      <c r="K110">
        <v>0.1</v>
      </c>
      <c r="L110">
        <v>7650</v>
      </c>
      <c r="M110">
        <v>5646.05</v>
      </c>
      <c r="N110">
        <v>2003.95</v>
      </c>
    </row>
    <row r="111" spans="1:14" x14ac:dyDescent="0.25">
      <c r="A111" t="s">
        <v>179</v>
      </c>
      <c r="B111">
        <v>45890</v>
      </c>
      <c r="C111" t="s">
        <v>33</v>
      </c>
      <c r="D111" t="s">
        <v>63</v>
      </c>
      <c r="E111" t="s">
        <v>17</v>
      </c>
      <c r="F111" t="s">
        <v>18</v>
      </c>
      <c r="G111" t="s">
        <v>99</v>
      </c>
      <c r="H111" t="s">
        <v>55</v>
      </c>
      <c r="I111">
        <v>4</v>
      </c>
      <c r="J111">
        <v>14500</v>
      </c>
      <c r="K111">
        <v>0.15</v>
      </c>
      <c r="L111">
        <v>49300</v>
      </c>
      <c r="M111">
        <v>30837.42</v>
      </c>
      <c r="N111">
        <v>18462.580000000002</v>
      </c>
    </row>
    <row r="112" spans="1:14" x14ac:dyDescent="0.25">
      <c r="A112" t="s">
        <v>180</v>
      </c>
      <c r="B112">
        <v>45945</v>
      </c>
      <c r="C112" t="s">
        <v>33</v>
      </c>
      <c r="D112" t="s">
        <v>59</v>
      </c>
      <c r="E112" t="s">
        <v>17</v>
      </c>
      <c r="F112" t="s">
        <v>78</v>
      </c>
      <c r="G112" t="s">
        <v>91</v>
      </c>
      <c r="H112" t="s">
        <v>45</v>
      </c>
      <c r="I112">
        <v>5</v>
      </c>
      <c r="J112">
        <v>180</v>
      </c>
      <c r="K112">
        <v>0.15</v>
      </c>
      <c r="L112">
        <v>765</v>
      </c>
      <c r="M112">
        <v>493.94</v>
      </c>
      <c r="N112">
        <v>271.06</v>
      </c>
    </row>
    <row r="113" spans="1:14" x14ac:dyDescent="0.25">
      <c r="A113" t="s">
        <v>181</v>
      </c>
      <c r="B113">
        <v>45681</v>
      </c>
      <c r="C113" t="s">
        <v>15</v>
      </c>
      <c r="D113" t="s">
        <v>67</v>
      </c>
      <c r="E113" t="s">
        <v>29</v>
      </c>
      <c r="F113" t="s">
        <v>47</v>
      </c>
      <c r="G113" t="s">
        <v>68</v>
      </c>
      <c r="H113" t="s">
        <v>20</v>
      </c>
      <c r="I113">
        <v>3</v>
      </c>
      <c r="J113">
        <v>6500</v>
      </c>
      <c r="K113">
        <v>0.15</v>
      </c>
      <c r="L113">
        <v>16575</v>
      </c>
      <c r="M113">
        <v>11930.71</v>
      </c>
      <c r="N113">
        <v>4644.29</v>
      </c>
    </row>
    <row r="114" spans="1:14" x14ac:dyDescent="0.25">
      <c r="A114" t="s">
        <v>182</v>
      </c>
      <c r="B114">
        <v>46001</v>
      </c>
      <c r="C114" t="s">
        <v>27</v>
      </c>
      <c r="D114" t="s">
        <v>28</v>
      </c>
      <c r="E114" t="s">
        <v>29</v>
      </c>
      <c r="F114" t="s">
        <v>47</v>
      </c>
      <c r="G114" t="s">
        <v>84</v>
      </c>
      <c r="H114" t="s">
        <v>70</v>
      </c>
      <c r="I114">
        <v>7</v>
      </c>
      <c r="J114">
        <v>10500</v>
      </c>
      <c r="K114">
        <v>0.1</v>
      </c>
      <c r="L114">
        <v>66150</v>
      </c>
      <c r="M114">
        <v>41489.120000000003</v>
      </c>
      <c r="N114">
        <v>24660.880000000001</v>
      </c>
    </row>
    <row r="115" spans="1:14" x14ac:dyDescent="0.25">
      <c r="A115" t="s">
        <v>183</v>
      </c>
      <c r="B115">
        <v>45847</v>
      </c>
      <c r="C115" t="s">
        <v>43</v>
      </c>
      <c r="D115" t="s">
        <v>50</v>
      </c>
      <c r="E115" t="s">
        <v>29</v>
      </c>
      <c r="F115" t="s">
        <v>47</v>
      </c>
      <c r="G115" t="s">
        <v>84</v>
      </c>
      <c r="H115" t="s">
        <v>55</v>
      </c>
      <c r="I115">
        <v>6</v>
      </c>
      <c r="J115">
        <v>10500</v>
      </c>
      <c r="K115">
        <v>0.1</v>
      </c>
      <c r="L115">
        <v>56700</v>
      </c>
      <c r="M115">
        <v>35909.300000000003</v>
      </c>
      <c r="N115">
        <v>20790.7</v>
      </c>
    </row>
    <row r="116" spans="1:14" x14ac:dyDescent="0.25">
      <c r="A116" t="s">
        <v>184</v>
      </c>
      <c r="B116">
        <v>45799</v>
      </c>
      <c r="C116" t="s">
        <v>43</v>
      </c>
      <c r="D116" t="s">
        <v>53</v>
      </c>
      <c r="E116" t="s">
        <v>29</v>
      </c>
      <c r="F116" t="s">
        <v>47</v>
      </c>
      <c r="G116" t="s">
        <v>48</v>
      </c>
      <c r="H116" t="s">
        <v>20</v>
      </c>
      <c r="I116">
        <v>1</v>
      </c>
      <c r="J116">
        <v>4200</v>
      </c>
      <c r="K116">
        <v>0</v>
      </c>
      <c r="L116">
        <v>4200</v>
      </c>
      <c r="M116">
        <v>3331</v>
      </c>
      <c r="N116">
        <v>869</v>
      </c>
    </row>
    <row r="117" spans="1:14" x14ac:dyDescent="0.25">
      <c r="A117" t="s">
        <v>185</v>
      </c>
      <c r="B117">
        <v>45782</v>
      </c>
      <c r="C117" t="s">
        <v>43</v>
      </c>
      <c r="D117" t="s">
        <v>75</v>
      </c>
      <c r="E117" t="s">
        <v>23</v>
      </c>
      <c r="F117" t="s">
        <v>39</v>
      </c>
      <c r="G117" t="s">
        <v>89</v>
      </c>
      <c r="H117" t="s">
        <v>70</v>
      </c>
      <c r="I117">
        <v>4</v>
      </c>
      <c r="J117">
        <v>1200</v>
      </c>
      <c r="K117">
        <v>0.05</v>
      </c>
      <c r="L117">
        <v>4560</v>
      </c>
      <c r="M117">
        <v>3156.81</v>
      </c>
      <c r="N117">
        <v>1403.19</v>
      </c>
    </row>
    <row r="118" spans="1:14" x14ac:dyDescent="0.25">
      <c r="A118" t="s">
        <v>186</v>
      </c>
      <c r="B118">
        <v>45733</v>
      </c>
      <c r="C118" t="s">
        <v>15</v>
      </c>
      <c r="D118" t="s">
        <v>67</v>
      </c>
      <c r="E118" t="s">
        <v>23</v>
      </c>
      <c r="F118" t="s">
        <v>24</v>
      </c>
      <c r="G118" t="s">
        <v>76</v>
      </c>
      <c r="H118" t="s">
        <v>37</v>
      </c>
      <c r="I118">
        <v>3</v>
      </c>
      <c r="J118">
        <v>49000</v>
      </c>
      <c r="K118">
        <v>0</v>
      </c>
      <c r="L118">
        <v>147000</v>
      </c>
      <c r="M118">
        <v>112518.6</v>
      </c>
      <c r="N118">
        <v>34481.4</v>
      </c>
    </row>
    <row r="119" spans="1:14" x14ac:dyDescent="0.25">
      <c r="A119" t="s">
        <v>187</v>
      </c>
      <c r="B119">
        <v>45671</v>
      </c>
      <c r="C119" t="s">
        <v>43</v>
      </c>
      <c r="D119" t="s">
        <v>53</v>
      </c>
      <c r="E119" t="s">
        <v>29</v>
      </c>
      <c r="F119" t="s">
        <v>47</v>
      </c>
      <c r="G119" t="s">
        <v>48</v>
      </c>
      <c r="H119" t="s">
        <v>37</v>
      </c>
      <c r="I119">
        <v>1</v>
      </c>
      <c r="J119">
        <v>4200</v>
      </c>
      <c r="K119">
        <v>0.05</v>
      </c>
      <c r="L119">
        <v>3990</v>
      </c>
      <c r="M119">
        <v>2706.74</v>
      </c>
      <c r="N119">
        <v>1283.26</v>
      </c>
    </row>
    <row r="120" spans="1:14" x14ac:dyDescent="0.25">
      <c r="A120" t="s">
        <v>188</v>
      </c>
      <c r="B120">
        <v>45722</v>
      </c>
      <c r="C120" t="s">
        <v>27</v>
      </c>
      <c r="D120" t="s">
        <v>61</v>
      </c>
      <c r="E120" t="s">
        <v>17</v>
      </c>
      <c r="F120" t="s">
        <v>78</v>
      </c>
      <c r="G120" t="s">
        <v>79</v>
      </c>
      <c r="H120" t="s">
        <v>45</v>
      </c>
      <c r="I120">
        <v>6</v>
      </c>
      <c r="J120">
        <v>250</v>
      </c>
      <c r="K120">
        <v>0</v>
      </c>
      <c r="L120">
        <v>1500</v>
      </c>
      <c r="M120">
        <v>1079.1600000000001</v>
      </c>
      <c r="N120">
        <v>420.84</v>
      </c>
    </row>
    <row r="121" spans="1:14" x14ac:dyDescent="0.25">
      <c r="A121" t="s">
        <v>189</v>
      </c>
      <c r="B121">
        <v>45771</v>
      </c>
      <c r="C121" t="s">
        <v>15</v>
      </c>
      <c r="D121" t="s">
        <v>67</v>
      </c>
      <c r="E121" t="s">
        <v>29</v>
      </c>
      <c r="F121" t="s">
        <v>47</v>
      </c>
      <c r="G121" t="s">
        <v>68</v>
      </c>
      <c r="H121" t="s">
        <v>45</v>
      </c>
      <c r="I121">
        <v>7</v>
      </c>
      <c r="J121">
        <v>6500</v>
      </c>
      <c r="K121">
        <v>0.15</v>
      </c>
      <c r="L121">
        <v>38675</v>
      </c>
      <c r="M121">
        <v>29816.16</v>
      </c>
      <c r="N121">
        <v>8858.84</v>
      </c>
    </row>
    <row r="122" spans="1:14" x14ac:dyDescent="0.25">
      <c r="A122" t="s">
        <v>190</v>
      </c>
      <c r="B122">
        <v>45909</v>
      </c>
      <c r="C122" t="s">
        <v>27</v>
      </c>
      <c r="D122" t="s">
        <v>61</v>
      </c>
      <c r="E122" t="s">
        <v>23</v>
      </c>
      <c r="F122" t="s">
        <v>35</v>
      </c>
      <c r="G122" t="s">
        <v>136</v>
      </c>
      <c r="H122" t="s">
        <v>20</v>
      </c>
      <c r="I122">
        <v>2</v>
      </c>
      <c r="J122">
        <v>22000</v>
      </c>
      <c r="K122">
        <v>0.05</v>
      </c>
      <c r="L122">
        <v>41800</v>
      </c>
      <c r="M122">
        <v>28445.05</v>
      </c>
      <c r="N122">
        <v>13354.95</v>
      </c>
    </row>
    <row r="123" spans="1:14" x14ac:dyDescent="0.25">
      <c r="A123" t="s">
        <v>191</v>
      </c>
      <c r="B123">
        <v>45982</v>
      </c>
      <c r="C123" t="s">
        <v>33</v>
      </c>
      <c r="D123" t="s">
        <v>73</v>
      </c>
      <c r="E123" t="s">
        <v>17</v>
      </c>
      <c r="F123" t="s">
        <v>18</v>
      </c>
      <c r="G123" t="s">
        <v>99</v>
      </c>
      <c r="H123" t="s">
        <v>70</v>
      </c>
      <c r="I123">
        <v>7</v>
      </c>
      <c r="J123">
        <v>14500</v>
      </c>
      <c r="K123">
        <v>0</v>
      </c>
      <c r="L123">
        <v>101500</v>
      </c>
      <c r="M123">
        <v>80639.839999999997</v>
      </c>
      <c r="N123">
        <v>20860.16</v>
      </c>
    </row>
    <row r="124" spans="1:14" x14ac:dyDescent="0.25">
      <c r="A124" t="s">
        <v>192</v>
      </c>
      <c r="B124">
        <v>45716</v>
      </c>
      <c r="C124" t="s">
        <v>43</v>
      </c>
      <c r="D124" t="s">
        <v>50</v>
      </c>
      <c r="E124" t="s">
        <v>29</v>
      </c>
      <c r="F124" t="s">
        <v>47</v>
      </c>
      <c r="G124" t="s">
        <v>84</v>
      </c>
      <c r="H124" t="s">
        <v>37</v>
      </c>
      <c r="I124">
        <v>8</v>
      </c>
      <c r="J124">
        <v>10500</v>
      </c>
      <c r="K124">
        <v>0.15</v>
      </c>
      <c r="L124">
        <v>71400</v>
      </c>
      <c r="M124">
        <v>50802.37</v>
      </c>
      <c r="N124">
        <v>20597.63</v>
      </c>
    </row>
    <row r="125" spans="1:14" x14ac:dyDescent="0.25">
      <c r="A125" t="s">
        <v>193</v>
      </c>
      <c r="B125">
        <v>45706</v>
      </c>
      <c r="C125" t="s">
        <v>33</v>
      </c>
      <c r="D125" t="s">
        <v>73</v>
      </c>
      <c r="E125" t="s">
        <v>29</v>
      </c>
      <c r="F125" t="s">
        <v>30</v>
      </c>
      <c r="G125" t="s">
        <v>54</v>
      </c>
      <c r="H125" t="s">
        <v>20</v>
      </c>
      <c r="I125">
        <v>8</v>
      </c>
      <c r="J125">
        <v>12000</v>
      </c>
      <c r="K125">
        <v>0</v>
      </c>
      <c r="L125">
        <v>96000</v>
      </c>
      <c r="M125">
        <v>61446.67</v>
      </c>
      <c r="N125">
        <v>34553.33</v>
      </c>
    </row>
    <row r="126" spans="1:14" x14ac:dyDescent="0.25">
      <c r="A126" t="s">
        <v>194</v>
      </c>
      <c r="B126">
        <v>45701</v>
      </c>
      <c r="C126" t="s">
        <v>15</v>
      </c>
      <c r="D126" t="s">
        <v>22</v>
      </c>
      <c r="E126" t="s">
        <v>23</v>
      </c>
      <c r="F126" t="s">
        <v>39</v>
      </c>
      <c r="G126" t="s">
        <v>93</v>
      </c>
      <c r="H126" t="s">
        <v>37</v>
      </c>
      <c r="I126">
        <v>3</v>
      </c>
      <c r="J126">
        <v>2500</v>
      </c>
      <c r="K126">
        <v>0</v>
      </c>
      <c r="L126">
        <v>7500</v>
      </c>
      <c r="M126">
        <v>5617.67</v>
      </c>
      <c r="N126">
        <v>1882.33</v>
      </c>
    </row>
    <row r="127" spans="1:14" x14ac:dyDescent="0.25">
      <c r="A127" t="s">
        <v>195</v>
      </c>
      <c r="B127">
        <v>45945</v>
      </c>
      <c r="C127" t="s">
        <v>33</v>
      </c>
      <c r="D127" t="s">
        <v>34</v>
      </c>
      <c r="E127" t="s">
        <v>29</v>
      </c>
      <c r="F127" t="s">
        <v>30</v>
      </c>
      <c r="G127" t="s">
        <v>51</v>
      </c>
      <c r="H127" t="s">
        <v>45</v>
      </c>
      <c r="I127">
        <v>1</v>
      </c>
      <c r="J127">
        <v>25000</v>
      </c>
      <c r="K127">
        <v>0.1</v>
      </c>
      <c r="L127">
        <v>22500</v>
      </c>
      <c r="M127">
        <v>16922.03</v>
      </c>
      <c r="N127">
        <v>5577.97</v>
      </c>
    </row>
    <row r="128" spans="1:14" x14ac:dyDescent="0.25">
      <c r="A128" t="s">
        <v>196</v>
      </c>
      <c r="B128">
        <v>45838</v>
      </c>
      <c r="C128" t="s">
        <v>15</v>
      </c>
      <c r="D128" t="s">
        <v>128</v>
      </c>
      <c r="E128" t="s">
        <v>23</v>
      </c>
      <c r="F128" t="s">
        <v>39</v>
      </c>
      <c r="G128" t="s">
        <v>40</v>
      </c>
      <c r="H128" t="s">
        <v>20</v>
      </c>
      <c r="I128">
        <v>2</v>
      </c>
      <c r="J128">
        <v>1800</v>
      </c>
      <c r="K128">
        <v>0.1</v>
      </c>
      <c r="L128">
        <v>3240</v>
      </c>
      <c r="M128">
        <v>2611.38</v>
      </c>
      <c r="N128">
        <v>628.62</v>
      </c>
    </row>
    <row r="129" spans="1:14" x14ac:dyDescent="0.25">
      <c r="A129" t="s">
        <v>197</v>
      </c>
      <c r="B129">
        <v>45846</v>
      </c>
      <c r="C129" t="s">
        <v>15</v>
      </c>
      <c r="D129" t="s">
        <v>67</v>
      </c>
      <c r="E129" t="s">
        <v>17</v>
      </c>
      <c r="F129" t="s">
        <v>78</v>
      </c>
      <c r="G129" t="s">
        <v>79</v>
      </c>
      <c r="H129" t="s">
        <v>70</v>
      </c>
      <c r="I129">
        <v>1</v>
      </c>
      <c r="J129">
        <v>250</v>
      </c>
      <c r="K129">
        <v>0.1</v>
      </c>
      <c r="L129">
        <v>225</v>
      </c>
      <c r="M129">
        <v>140.93</v>
      </c>
      <c r="N129">
        <v>84.07</v>
      </c>
    </row>
    <row r="130" spans="1:14" x14ac:dyDescent="0.25">
      <c r="A130" t="s">
        <v>198</v>
      </c>
      <c r="B130">
        <v>45797</v>
      </c>
      <c r="C130" t="s">
        <v>33</v>
      </c>
      <c r="D130" t="s">
        <v>63</v>
      </c>
      <c r="E130" t="s">
        <v>29</v>
      </c>
      <c r="F130" t="s">
        <v>47</v>
      </c>
      <c r="G130" t="s">
        <v>68</v>
      </c>
      <c r="H130" t="s">
        <v>20</v>
      </c>
      <c r="I130">
        <v>7</v>
      </c>
      <c r="J130">
        <v>6500</v>
      </c>
      <c r="K130">
        <v>0</v>
      </c>
      <c r="L130">
        <v>45500</v>
      </c>
      <c r="M130">
        <v>29630.17</v>
      </c>
      <c r="N130">
        <v>15869.83</v>
      </c>
    </row>
    <row r="131" spans="1:14" x14ac:dyDescent="0.25">
      <c r="A131" t="s">
        <v>199</v>
      </c>
      <c r="B131">
        <v>45982</v>
      </c>
      <c r="C131" t="s">
        <v>15</v>
      </c>
      <c r="D131" t="s">
        <v>16</v>
      </c>
      <c r="E131" t="s">
        <v>17</v>
      </c>
      <c r="F131" t="s">
        <v>78</v>
      </c>
      <c r="G131" t="s">
        <v>79</v>
      </c>
      <c r="H131" t="s">
        <v>45</v>
      </c>
      <c r="I131">
        <v>8</v>
      </c>
      <c r="J131">
        <v>250</v>
      </c>
      <c r="K131">
        <v>0.1</v>
      </c>
      <c r="L131">
        <v>1800</v>
      </c>
      <c r="M131">
        <v>1178.33</v>
      </c>
      <c r="N131">
        <v>621.66999999999996</v>
      </c>
    </row>
    <row r="132" spans="1:14" x14ac:dyDescent="0.25">
      <c r="A132" t="s">
        <v>200</v>
      </c>
      <c r="B132">
        <v>45817</v>
      </c>
      <c r="C132" t="s">
        <v>33</v>
      </c>
      <c r="D132" t="s">
        <v>34</v>
      </c>
      <c r="E132" t="s">
        <v>23</v>
      </c>
      <c r="F132" t="s">
        <v>24</v>
      </c>
      <c r="G132" t="s">
        <v>25</v>
      </c>
      <c r="H132" t="s">
        <v>70</v>
      </c>
      <c r="I132">
        <v>1</v>
      </c>
      <c r="J132">
        <v>52000</v>
      </c>
      <c r="K132">
        <v>0</v>
      </c>
      <c r="L132">
        <v>52000</v>
      </c>
      <c r="M132">
        <v>35352.86</v>
      </c>
      <c r="N132">
        <v>16647.14</v>
      </c>
    </row>
    <row r="133" spans="1:14" x14ac:dyDescent="0.25">
      <c r="A133" t="s">
        <v>201</v>
      </c>
      <c r="B133">
        <v>45996</v>
      </c>
      <c r="C133" t="s">
        <v>27</v>
      </c>
      <c r="D133" t="s">
        <v>57</v>
      </c>
      <c r="E133" t="s">
        <v>17</v>
      </c>
      <c r="F133" t="s">
        <v>18</v>
      </c>
      <c r="G133" t="s">
        <v>99</v>
      </c>
      <c r="H133" t="s">
        <v>37</v>
      </c>
      <c r="I133">
        <v>4</v>
      </c>
      <c r="J133">
        <v>14500</v>
      </c>
      <c r="K133">
        <v>0</v>
      </c>
      <c r="L133">
        <v>58000</v>
      </c>
      <c r="M133">
        <v>40364.410000000003</v>
      </c>
      <c r="N133">
        <v>17635.59</v>
      </c>
    </row>
    <row r="134" spans="1:14" x14ac:dyDescent="0.25">
      <c r="A134" t="s">
        <v>202</v>
      </c>
      <c r="B134">
        <v>45714</v>
      </c>
      <c r="C134" t="s">
        <v>33</v>
      </c>
      <c r="D134" t="s">
        <v>73</v>
      </c>
      <c r="E134" t="s">
        <v>17</v>
      </c>
      <c r="F134" t="s">
        <v>18</v>
      </c>
      <c r="G134" t="s">
        <v>19</v>
      </c>
      <c r="H134" t="s">
        <v>20</v>
      </c>
      <c r="I134">
        <v>7</v>
      </c>
      <c r="J134">
        <v>8500</v>
      </c>
      <c r="K134">
        <v>0</v>
      </c>
      <c r="L134">
        <v>59500</v>
      </c>
      <c r="M134">
        <v>36990.620000000003</v>
      </c>
      <c r="N134">
        <v>22509.38</v>
      </c>
    </row>
    <row r="135" spans="1:14" x14ac:dyDescent="0.25">
      <c r="A135" t="s">
        <v>203</v>
      </c>
      <c r="B135">
        <v>45812</v>
      </c>
      <c r="C135" t="s">
        <v>43</v>
      </c>
      <c r="D135" t="s">
        <v>75</v>
      </c>
      <c r="E135" t="s">
        <v>29</v>
      </c>
      <c r="F135" t="s">
        <v>30</v>
      </c>
      <c r="G135" t="s">
        <v>54</v>
      </c>
      <c r="H135" t="s">
        <v>55</v>
      </c>
      <c r="I135">
        <v>1</v>
      </c>
      <c r="J135">
        <v>12000</v>
      </c>
      <c r="K135">
        <v>0.15</v>
      </c>
      <c r="L135">
        <v>10200</v>
      </c>
      <c r="M135">
        <v>8000.3</v>
      </c>
      <c r="N135">
        <v>2199.6999999999998</v>
      </c>
    </row>
    <row r="136" spans="1:14" x14ac:dyDescent="0.25">
      <c r="A136" t="s">
        <v>204</v>
      </c>
      <c r="B136">
        <v>45747</v>
      </c>
      <c r="C136" t="s">
        <v>43</v>
      </c>
      <c r="D136" t="s">
        <v>50</v>
      </c>
      <c r="E136" t="s">
        <v>17</v>
      </c>
      <c r="F136" t="s">
        <v>78</v>
      </c>
      <c r="G136" t="s">
        <v>91</v>
      </c>
      <c r="H136" t="s">
        <v>70</v>
      </c>
      <c r="I136">
        <v>6</v>
      </c>
      <c r="J136">
        <v>180</v>
      </c>
      <c r="K136">
        <v>0</v>
      </c>
      <c r="L136">
        <v>1080</v>
      </c>
      <c r="M136">
        <v>763.94</v>
      </c>
      <c r="N136">
        <v>316.06</v>
      </c>
    </row>
    <row r="137" spans="1:14" x14ac:dyDescent="0.25">
      <c r="A137" t="s">
        <v>205</v>
      </c>
      <c r="B137">
        <v>45679</v>
      </c>
      <c r="C137" t="s">
        <v>27</v>
      </c>
      <c r="D137" t="s">
        <v>61</v>
      </c>
      <c r="E137" t="s">
        <v>29</v>
      </c>
      <c r="F137" t="s">
        <v>47</v>
      </c>
      <c r="G137" t="s">
        <v>84</v>
      </c>
      <c r="H137" t="s">
        <v>70</v>
      </c>
      <c r="I137">
        <v>7</v>
      </c>
      <c r="J137">
        <v>10500</v>
      </c>
      <c r="K137">
        <v>0.15</v>
      </c>
      <c r="L137">
        <v>62475</v>
      </c>
      <c r="M137">
        <v>48486.21</v>
      </c>
      <c r="N137">
        <v>13988.79</v>
      </c>
    </row>
    <row r="138" spans="1:14" x14ac:dyDescent="0.25">
      <c r="A138" t="s">
        <v>206</v>
      </c>
      <c r="B138">
        <v>45871</v>
      </c>
      <c r="C138" t="s">
        <v>33</v>
      </c>
      <c r="D138" t="s">
        <v>34</v>
      </c>
      <c r="E138" t="s">
        <v>29</v>
      </c>
      <c r="F138" t="s">
        <v>47</v>
      </c>
      <c r="G138" t="s">
        <v>84</v>
      </c>
      <c r="H138" t="s">
        <v>20</v>
      </c>
      <c r="I138">
        <v>8</v>
      </c>
      <c r="J138">
        <v>10500</v>
      </c>
      <c r="K138">
        <v>0.1</v>
      </c>
      <c r="L138">
        <v>75600</v>
      </c>
      <c r="M138">
        <v>48337.78</v>
      </c>
      <c r="N138">
        <v>27262.22</v>
      </c>
    </row>
    <row r="139" spans="1:14" x14ac:dyDescent="0.25">
      <c r="A139" t="s">
        <v>207</v>
      </c>
      <c r="B139">
        <v>45712</v>
      </c>
      <c r="C139" t="s">
        <v>43</v>
      </c>
      <c r="D139" t="s">
        <v>50</v>
      </c>
      <c r="E139" t="s">
        <v>17</v>
      </c>
      <c r="F139" t="s">
        <v>18</v>
      </c>
      <c r="G139" t="s">
        <v>19</v>
      </c>
      <c r="H139" t="s">
        <v>45</v>
      </c>
      <c r="I139">
        <v>5</v>
      </c>
      <c r="J139">
        <v>8500</v>
      </c>
      <c r="K139">
        <v>0.1</v>
      </c>
      <c r="L139">
        <v>38250</v>
      </c>
      <c r="M139">
        <v>25579.53</v>
      </c>
      <c r="N139">
        <v>12670.47</v>
      </c>
    </row>
    <row r="140" spans="1:14" x14ac:dyDescent="0.25">
      <c r="A140" t="s">
        <v>208</v>
      </c>
      <c r="B140">
        <v>45744</v>
      </c>
      <c r="C140" t="s">
        <v>15</v>
      </c>
      <c r="D140" t="s">
        <v>16</v>
      </c>
      <c r="E140" t="s">
        <v>17</v>
      </c>
      <c r="F140" t="s">
        <v>78</v>
      </c>
      <c r="G140" t="s">
        <v>79</v>
      </c>
      <c r="H140" t="s">
        <v>37</v>
      </c>
      <c r="I140">
        <v>3</v>
      </c>
      <c r="J140">
        <v>250</v>
      </c>
      <c r="K140">
        <v>0.05</v>
      </c>
      <c r="L140">
        <v>712.5</v>
      </c>
      <c r="M140">
        <v>457.86</v>
      </c>
      <c r="N140">
        <v>254.64</v>
      </c>
    </row>
    <row r="141" spans="1:14" x14ac:dyDescent="0.25">
      <c r="A141" t="s">
        <v>209</v>
      </c>
      <c r="B141">
        <v>45789</v>
      </c>
      <c r="C141" t="s">
        <v>43</v>
      </c>
      <c r="D141" t="s">
        <v>75</v>
      </c>
      <c r="E141" t="s">
        <v>17</v>
      </c>
      <c r="F141" t="s">
        <v>78</v>
      </c>
      <c r="G141" t="s">
        <v>91</v>
      </c>
      <c r="H141" t="s">
        <v>55</v>
      </c>
      <c r="I141">
        <v>3</v>
      </c>
      <c r="J141">
        <v>180</v>
      </c>
      <c r="K141">
        <v>0.15</v>
      </c>
      <c r="L141">
        <v>459</v>
      </c>
      <c r="M141">
        <v>331.43</v>
      </c>
      <c r="N141">
        <v>127.57</v>
      </c>
    </row>
    <row r="142" spans="1:14" x14ac:dyDescent="0.25">
      <c r="A142" t="s">
        <v>210</v>
      </c>
      <c r="B142">
        <v>45946</v>
      </c>
      <c r="C142" t="s">
        <v>27</v>
      </c>
      <c r="D142" t="s">
        <v>118</v>
      </c>
      <c r="E142" t="s">
        <v>17</v>
      </c>
      <c r="F142" t="s">
        <v>18</v>
      </c>
      <c r="G142" t="s">
        <v>19</v>
      </c>
      <c r="H142" t="s">
        <v>45</v>
      </c>
      <c r="I142">
        <v>2</v>
      </c>
      <c r="J142">
        <v>8500</v>
      </c>
      <c r="K142">
        <v>0.15</v>
      </c>
      <c r="L142">
        <v>14450</v>
      </c>
      <c r="M142">
        <v>10364.780000000001</v>
      </c>
      <c r="N142">
        <v>4085.22</v>
      </c>
    </row>
    <row r="143" spans="1:14" x14ac:dyDescent="0.25">
      <c r="A143" t="s">
        <v>211</v>
      </c>
      <c r="B143">
        <v>45813</v>
      </c>
      <c r="C143" t="s">
        <v>33</v>
      </c>
      <c r="D143" t="s">
        <v>34</v>
      </c>
      <c r="E143" t="s">
        <v>29</v>
      </c>
      <c r="F143" t="s">
        <v>47</v>
      </c>
      <c r="G143" t="s">
        <v>84</v>
      </c>
      <c r="H143" t="s">
        <v>45</v>
      </c>
      <c r="I143">
        <v>8</v>
      </c>
      <c r="J143">
        <v>10500</v>
      </c>
      <c r="K143">
        <v>0</v>
      </c>
      <c r="L143">
        <v>84000</v>
      </c>
      <c r="M143">
        <v>53131.33</v>
      </c>
      <c r="N143">
        <v>30868.67</v>
      </c>
    </row>
    <row r="144" spans="1:14" x14ac:dyDescent="0.25">
      <c r="A144" t="s">
        <v>212</v>
      </c>
      <c r="B144">
        <v>45804</v>
      </c>
      <c r="C144" t="s">
        <v>15</v>
      </c>
      <c r="D144" t="s">
        <v>16</v>
      </c>
      <c r="E144" t="s">
        <v>17</v>
      </c>
      <c r="F144" t="s">
        <v>18</v>
      </c>
      <c r="G144" t="s">
        <v>99</v>
      </c>
      <c r="H144" t="s">
        <v>70</v>
      </c>
      <c r="I144">
        <v>1</v>
      </c>
      <c r="J144">
        <v>14500</v>
      </c>
      <c r="K144">
        <v>0.15</v>
      </c>
      <c r="L144">
        <v>12325</v>
      </c>
      <c r="M144">
        <v>10106.39</v>
      </c>
      <c r="N144">
        <v>2218.61</v>
      </c>
    </row>
    <row r="145" spans="1:14" x14ac:dyDescent="0.25">
      <c r="A145" t="s">
        <v>213</v>
      </c>
      <c r="B145">
        <v>45950</v>
      </c>
      <c r="C145" t="s">
        <v>43</v>
      </c>
      <c r="D145" t="s">
        <v>44</v>
      </c>
      <c r="E145" t="s">
        <v>17</v>
      </c>
      <c r="F145" t="s">
        <v>18</v>
      </c>
      <c r="G145" t="s">
        <v>19</v>
      </c>
      <c r="H145" t="s">
        <v>55</v>
      </c>
      <c r="I145">
        <v>8</v>
      </c>
      <c r="J145">
        <v>8500</v>
      </c>
      <c r="K145">
        <v>0</v>
      </c>
      <c r="L145">
        <v>68000</v>
      </c>
      <c r="M145">
        <v>54292.06</v>
      </c>
      <c r="N145">
        <v>13707.94</v>
      </c>
    </row>
    <row r="146" spans="1:14" x14ac:dyDescent="0.25">
      <c r="A146" t="s">
        <v>214</v>
      </c>
      <c r="B146">
        <v>45833</v>
      </c>
      <c r="C146" t="s">
        <v>15</v>
      </c>
      <c r="D146" t="s">
        <v>128</v>
      </c>
      <c r="E146" t="s">
        <v>23</v>
      </c>
      <c r="F146" t="s">
        <v>24</v>
      </c>
      <c r="G146" t="s">
        <v>76</v>
      </c>
      <c r="H146" t="s">
        <v>45</v>
      </c>
      <c r="I146">
        <v>8</v>
      </c>
      <c r="J146">
        <v>49000</v>
      </c>
      <c r="K146">
        <v>0.05</v>
      </c>
      <c r="L146">
        <v>372400</v>
      </c>
      <c r="M146">
        <v>260701.43</v>
      </c>
      <c r="N146">
        <v>111698.57</v>
      </c>
    </row>
    <row r="147" spans="1:14" x14ac:dyDescent="0.25">
      <c r="A147" t="s">
        <v>215</v>
      </c>
      <c r="B147">
        <v>45802</v>
      </c>
      <c r="C147" t="s">
        <v>27</v>
      </c>
      <c r="D147" t="s">
        <v>57</v>
      </c>
      <c r="E147" t="s">
        <v>29</v>
      </c>
      <c r="F147" t="s">
        <v>47</v>
      </c>
      <c r="G147" t="s">
        <v>48</v>
      </c>
      <c r="H147" t="s">
        <v>41</v>
      </c>
      <c r="I147">
        <v>6</v>
      </c>
      <c r="J147">
        <v>4200</v>
      </c>
      <c r="K147">
        <v>0</v>
      </c>
      <c r="L147">
        <v>25200</v>
      </c>
      <c r="M147">
        <v>17451.810000000001</v>
      </c>
      <c r="N147">
        <v>7748.19</v>
      </c>
    </row>
    <row r="148" spans="1:14" x14ac:dyDescent="0.25">
      <c r="A148" t="s">
        <v>216</v>
      </c>
      <c r="B148">
        <v>45943</v>
      </c>
      <c r="C148" t="s">
        <v>27</v>
      </c>
      <c r="D148" t="s">
        <v>118</v>
      </c>
      <c r="E148" t="s">
        <v>29</v>
      </c>
      <c r="F148" t="s">
        <v>47</v>
      </c>
      <c r="G148" t="s">
        <v>84</v>
      </c>
      <c r="H148" t="s">
        <v>55</v>
      </c>
      <c r="I148">
        <v>3</v>
      </c>
      <c r="J148">
        <v>10500</v>
      </c>
      <c r="K148">
        <v>0.1</v>
      </c>
      <c r="L148">
        <v>28350</v>
      </c>
      <c r="M148">
        <v>19511.919999999998</v>
      </c>
      <c r="N148">
        <v>8838.08</v>
      </c>
    </row>
    <row r="149" spans="1:14" x14ac:dyDescent="0.25">
      <c r="A149" t="s">
        <v>217</v>
      </c>
      <c r="B149">
        <v>45993</v>
      </c>
      <c r="C149" t="s">
        <v>27</v>
      </c>
      <c r="D149" t="s">
        <v>28</v>
      </c>
      <c r="E149" t="s">
        <v>17</v>
      </c>
      <c r="F149" t="s">
        <v>78</v>
      </c>
      <c r="G149" t="s">
        <v>79</v>
      </c>
      <c r="H149" t="s">
        <v>70</v>
      </c>
      <c r="I149">
        <v>7</v>
      </c>
      <c r="J149">
        <v>250</v>
      </c>
      <c r="K149">
        <v>0.1</v>
      </c>
      <c r="L149">
        <v>1575</v>
      </c>
      <c r="M149">
        <v>1258.27</v>
      </c>
      <c r="N149">
        <v>316.73</v>
      </c>
    </row>
    <row r="150" spans="1:14" x14ac:dyDescent="0.25">
      <c r="A150" t="s">
        <v>218</v>
      </c>
      <c r="B150">
        <v>46001</v>
      </c>
      <c r="C150" t="s">
        <v>15</v>
      </c>
      <c r="D150" t="s">
        <v>22</v>
      </c>
      <c r="E150" t="s">
        <v>17</v>
      </c>
      <c r="F150" t="s">
        <v>18</v>
      </c>
      <c r="G150" t="s">
        <v>19</v>
      </c>
      <c r="H150" t="s">
        <v>37</v>
      </c>
      <c r="I150">
        <v>5</v>
      </c>
      <c r="J150">
        <v>8500</v>
      </c>
      <c r="K150">
        <v>0.05</v>
      </c>
      <c r="L150">
        <v>40375</v>
      </c>
      <c r="M150">
        <v>33481.26</v>
      </c>
      <c r="N150">
        <v>6893.74</v>
      </c>
    </row>
    <row r="151" spans="1:14" x14ac:dyDescent="0.25">
      <c r="A151" t="s">
        <v>219</v>
      </c>
      <c r="B151">
        <v>45832</v>
      </c>
      <c r="C151" t="s">
        <v>27</v>
      </c>
      <c r="D151" t="s">
        <v>28</v>
      </c>
      <c r="E151" t="s">
        <v>23</v>
      </c>
      <c r="F151" t="s">
        <v>24</v>
      </c>
      <c r="G151" t="s">
        <v>25</v>
      </c>
      <c r="H151" t="s">
        <v>55</v>
      </c>
      <c r="I151">
        <v>5</v>
      </c>
      <c r="J151">
        <v>52000</v>
      </c>
      <c r="K151">
        <v>0</v>
      </c>
      <c r="L151">
        <v>260000</v>
      </c>
      <c r="M151">
        <v>190239.85</v>
      </c>
      <c r="N151">
        <v>69760.149999999994</v>
      </c>
    </row>
    <row r="152" spans="1:14" x14ac:dyDescent="0.25">
      <c r="A152" t="s">
        <v>220</v>
      </c>
      <c r="B152">
        <v>45934</v>
      </c>
      <c r="C152" t="s">
        <v>15</v>
      </c>
      <c r="D152" t="s">
        <v>67</v>
      </c>
      <c r="E152" t="s">
        <v>17</v>
      </c>
      <c r="F152" t="s">
        <v>78</v>
      </c>
      <c r="G152" t="s">
        <v>91</v>
      </c>
      <c r="H152" t="s">
        <v>45</v>
      </c>
      <c r="I152">
        <v>3</v>
      </c>
      <c r="J152">
        <v>180</v>
      </c>
      <c r="K152">
        <v>0.05</v>
      </c>
      <c r="L152">
        <v>513</v>
      </c>
      <c r="M152">
        <v>338.47</v>
      </c>
      <c r="N152">
        <v>174.53</v>
      </c>
    </row>
    <row r="153" spans="1:14" x14ac:dyDescent="0.25">
      <c r="A153" t="s">
        <v>221</v>
      </c>
      <c r="B153">
        <v>46012</v>
      </c>
      <c r="C153" t="s">
        <v>43</v>
      </c>
      <c r="D153" t="s">
        <v>50</v>
      </c>
      <c r="E153" t="s">
        <v>23</v>
      </c>
      <c r="F153" t="s">
        <v>35</v>
      </c>
      <c r="G153" t="s">
        <v>64</v>
      </c>
      <c r="H153" t="s">
        <v>41</v>
      </c>
      <c r="I153">
        <v>4</v>
      </c>
      <c r="J153">
        <v>31000</v>
      </c>
      <c r="K153">
        <v>0.15</v>
      </c>
      <c r="L153">
        <v>105400</v>
      </c>
      <c r="M153">
        <v>79506.490000000005</v>
      </c>
      <c r="N153">
        <v>25893.51</v>
      </c>
    </row>
    <row r="154" spans="1:14" x14ac:dyDescent="0.25">
      <c r="A154" t="s">
        <v>222</v>
      </c>
      <c r="B154">
        <v>45887</v>
      </c>
      <c r="C154" t="s">
        <v>43</v>
      </c>
      <c r="D154" t="s">
        <v>75</v>
      </c>
      <c r="E154" t="s">
        <v>29</v>
      </c>
      <c r="F154" t="s">
        <v>30</v>
      </c>
      <c r="G154" t="s">
        <v>31</v>
      </c>
      <c r="H154" t="s">
        <v>37</v>
      </c>
      <c r="I154">
        <v>8</v>
      </c>
      <c r="J154">
        <v>7000</v>
      </c>
      <c r="K154">
        <v>0.15</v>
      </c>
      <c r="L154">
        <v>47600</v>
      </c>
      <c r="M154">
        <v>37569.56</v>
      </c>
      <c r="N154">
        <v>10030.44</v>
      </c>
    </row>
    <row r="155" spans="1:14" x14ac:dyDescent="0.25">
      <c r="A155" t="s">
        <v>223</v>
      </c>
      <c r="B155">
        <v>45853</v>
      </c>
      <c r="C155" t="s">
        <v>27</v>
      </c>
      <c r="D155" t="s">
        <v>28</v>
      </c>
      <c r="E155" t="s">
        <v>23</v>
      </c>
      <c r="F155" t="s">
        <v>39</v>
      </c>
      <c r="G155" t="s">
        <v>89</v>
      </c>
      <c r="H155" t="s">
        <v>37</v>
      </c>
      <c r="I155">
        <v>1</v>
      </c>
      <c r="J155">
        <v>1200</v>
      </c>
      <c r="K155">
        <v>0.15</v>
      </c>
      <c r="L155">
        <v>1020</v>
      </c>
      <c r="M155">
        <v>828.55</v>
      </c>
      <c r="N155">
        <v>191.45</v>
      </c>
    </row>
    <row r="156" spans="1:14" x14ac:dyDescent="0.25">
      <c r="A156" t="s">
        <v>224</v>
      </c>
      <c r="B156">
        <v>45941</v>
      </c>
      <c r="C156" t="s">
        <v>15</v>
      </c>
      <c r="D156" t="s">
        <v>16</v>
      </c>
      <c r="E156" t="s">
        <v>29</v>
      </c>
      <c r="F156" t="s">
        <v>47</v>
      </c>
      <c r="G156" t="s">
        <v>68</v>
      </c>
      <c r="H156" t="s">
        <v>37</v>
      </c>
      <c r="I156">
        <v>8</v>
      </c>
      <c r="J156">
        <v>6500</v>
      </c>
      <c r="K156">
        <v>0.05</v>
      </c>
      <c r="L156">
        <v>49400</v>
      </c>
      <c r="M156">
        <v>39659.82</v>
      </c>
      <c r="N156">
        <v>9740.18</v>
      </c>
    </row>
    <row r="157" spans="1:14" x14ac:dyDescent="0.25">
      <c r="A157" t="s">
        <v>225</v>
      </c>
      <c r="B157">
        <v>45704</v>
      </c>
      <c r="C157" t="s">
        <v>43</v>
      </c>
      <c r="D157" t="s">
        <v>50</v>
      </c>
      <c r="E157" t="s">
        <v>29</v>
      </c>
      <c r="F157" t="s">
        <v>47</v>
      </c>
      <c r="G157" t="s">
        <v>84</v>
      </c>
      <c r="H157" t="s">
        <v>55</v>
      </c>
      <c r="I157">
        <v>7</v>
      </c>
      <c r="J157">
        <v>10500</v>
      </c>
      <c r="K157">
        <v>0.1</v>
      </c>
      <c r="L157">
        <v>66150</v>
      </c>
      <c r="M157">
        <v>44444.28</v>
      </c>
      <c r="N157">
        <v>21705.72</v>
      </c>
    </row>
    <row r="158" spans="1:14" x14ac:dyDescent="0.25">
      <c r="A158" t="s">
        <v>226</v>
      </c>
      <c r="B158">
        <v>45699</v>
      </c>
      <c r="C158" t="s">
        <v>33</v>
      </c>
      <c r="D158" t="s">
        <v>59</v>
      </c>
      <c r="E158" t="s">
        <v>23</v>
      </c>
      <c r="F158" t="s">
        <v>35</v>
      </c>
      <c r="G158" t="s">
        <v>36</v>
      </c>
      <c r="H158" t="s">
        <v>41</v>
      </c>
      <c r="I158">
        <v>6</v>
      </c>
      <c r="J158">
        <v>26000</v>
      </c>
      <c r="K158">
        <v>0.05</v>
      </c>
      <c r="L158">
        <v>148200</v>
      </c>
      <c r="M158">
        <v>96370.3</v>
      </c>
      <c r="N158">
        <v>51829.7</v>
      </c>
    </row>
    <row r="159" spans="1:14" x14ac:dyDescent="0.25">
      <c r="A159" t="s">
        <v>227</v>
      </c>
      <c r="B159">
        <v>45804</v>
      </c>
      <c r="C159" t="s">
        <v>27</v>
      </c>
      <c r="D159" t="s">
        <v>28</v>
      </c>
      <c r="E159" t="s">
        <v>17</v>
      </c>
      <c r="F159" t="s">
        <v>18</v>
      </c>
      <c r="G159" t="s">
        <v>99</v>
      </c>
      <c r="H159" t="s">
        <v>70</v>
      </c>
      <c r="I159">
        <v>1</v>
      </c>
      <c r="J159">
        <v>14500</v>
      </c>
      <c r="K159">
        <v>0</v>
      </c>
      <c r="L159">
        <v>14500</v>
      </c>
      <c r="M159">
        <v>9050.6200000000008</v>
      </c>
      <c r="N159">
        <v>5449.38</v>
      </c>
    </row>
    <row r="160" spans="1:14" x14ac:dyDescent="0.25">
      <c r="A160" t="s">
        <v>228</v>
      </c>
      <c r="B160">
        <v>45768</v>
      </c>
      <c r="C160" t="s">
        <v>43</v>
      </c>
      <c r="D160" t="s">
        <v>50</v>
      </c>
      <c r="E160" t="s">
        <v>23</v>
      </c>
      <c r="F160" t="s">
        <v>35</v>
      </c>
      <c r="G160" t="s">
        <v>36</v>
      </c>
      <c r="H160" t="s">
        <v>37</v>
      </c>
      <c r="I160">
        <v>2</v>
      </c>
      <c r="J160">
        <v>26000</v>
      </c>
      <c r="K160">
        <v>0</v>
      </c>
      <c r="L160">
        <v>52000</v>
      </c>
      <c r="M160">
        <v>34967.75</v>
      </c>
      <c r="N160">
        <v>17032.25</v>
      </c>
    </row>
    <row r="161" spans="1:14" x14ac:dyDescent="0.25">
      <c r="A161" t="s">
        <v>229</v>
      </c>
      <c r="B161">
        <v>45985</v>
      </c>
      <c r="C161" t="s">
        <v>27</v>
      </c>
      <c r="D161" t="s">
        <v>61</v>
      </c>
      <c r="E161" t="s">
        <v>23</v>
      </c>
      <c r="F161" t="s">
        <v>35</v>
      </c>
      <c r="G161" t="s">
        <v>136</v>
      </c>
      <c r="H161" t="s">
        <v>70</v>
      </c>
      <c r="I161">
        <v>1</v>
      </c>
      <c r="J161">
        <v>22000</v>
      </c>
      <c r="K161">
        <v>0.05</v>
      </c>
      <c r="L161">
        <v>20900</v>
      </c>
      <c r="M161">
        <v>16261.87</v>
      </c>
      <c r="N161">
        <v>4638.13</v>
      </c>
    </row>
    <row r="162" spans="1:14" x14ac:dyDescent="0.25">
      <c r="A162" t="s">
        <v>230</v>
      </c>
      <c r="B162">
        <v>45807</v>
      </c>
      <c r="C162" t="s">
        <v>27</v>
      </c>
      <c r="D162" t="s">
        <v>61</v>
      </c>
      <c r="E162" t="s">
        <v>17</v>
      </c>
      <c r="F162" t="s">
        <v>18</v>
      </c>
      <c r="G162" t="s">
        <v>19</v>
      </c>
      <c r="H162" t="s">
        <v>70</v>
      </c>
      <c r="I162">
        <v>7</v>
      </c>
      <c r="J162">
        <v>8500</v>
      </c>
      <c r="K162">
        <v>0.05</v>
      </c>
      <c r="L162">
        <v>56525</v>
      </c>
      <c r="M162">
        <v>43307.29</v>
      </c>
      <c r="N162">
        <v>13217.71</v>
      </c>
    </row>
    <row r="163" spans="1:14" x14ac:dyDescent="0.25">
      <c r="A163" t="s">
        <v>231</v>
      </c>
      <c r="B163">
        <v>45701</v>
      </c>
      <c r="C163" t="s">
        <v>33</v>
      </c>
      <c r="D163" t="s">
        <v>34</v>
      </c>
      <c r="E163" t="s">
        <v>17</v>
      </c>
      <c r="F163" t="s">
        <v>78</v>
      </c>
      <c r="G163" t="s">
        <v>79</v>
      </c>
      <c r="H163" t="s">
        <v>45</v>
      </c>
      <c r="I163">
        <v>1</v>
      </c>
      <c r="J163">
        <v>250</v>
      </c>
      <c r="K163">
        <v>0.15</v>
      </c>
      <c r="L163">
        <v>212.5</v>
      </c>
      <c r="M163">
        <v>177.61</v>
      </c>
      <c r="N163">
        <v>34.89</v>
      </c>
    </row>
    <row r="164" spans="1:14" x14ac:dyDescent="0.25">
      <c r="A164" t="s">
        <v>232</v>
      </c>
      <c r="B164">
        <v>45787</v>
      </c>
      <c r="C164" t="s">
        <v>15</v>
      </c>
      <c r="D164" t="s">
        <v>67</v>
      </c>
      <c r="E164" t="s">
        <v>23</v>
      </c>
      <c r="F164" t="s">
        <v>35</v>
      </c>
      <c r="G164" t="s">
        <v>36</v>
      </c>
      <c r="H164" t="s">
        <v>41</v>
      </c>
      <c r="I164">
        <v>2</v>
      </c>
      <c r="J164">
        <v>26000</v>
      </c>
      <c r="K164">
        <v>0.1</v>
      </c>
      <c r="L164">
        <v>46800</v>
      </c>
      <c r="M164">
        <v>30389.59</v>
      </c>
      <c r="N164">
        <v>16410.41</v>
      </c>
    </row>
    <row r="165" spans="1:14" x14ac:dyDescent="0.25">
      <c r="A165" t="s">
        <v>233</v>
      </c>
      <c r="B165">
        <v>45838</v>
      </c>
      <c r="C165" t="s">
        <v>33</v>
      </c>
      <c r="D165" t="s">
        <v>59</v>
      </c>
      <c r="E165" t="s">
        <v>17</v>
      </c>
      <c r="F165" t="s">
        <v>18</v>
      </c>
      <c r="G165" t="s">
        <v>99</v>
      </c>
      <c r="H165" t="s">
        <v>41</v>
      </c>
      <c r="I165">
        <v>3</v>
      </c>
      <c r="J165">
        <v>14500</v>
      </c>
      <c r="K165">
        <v>0.05</v>
      </c>
      <c r="L165">
        <v>41325</v>
      </c>
      <c r="M165">
        <v>26195.18</v>
      </c>
      <c r="N165">
        <v>15129.82</v>
      </c>
    </row>
    <row r="166" spans="1:14" x14ac:dyDescent="0.25">
      <c r="A166" t="s">
        <v>234</v>
      </c>
      <c r="B166">
        <v>45892</v>
      </c>
      <c r="C166" t="s">
        <v>15</v>
      </c>
      <c r="D166" t="s">
        <v>67</v>
      </c>
      <c r="E166" t="s">
        <v>23</v>
      </c>
      <c r="F166" t="s">
        <v>24</v>
      </c>
      <c r="G166" t="s">
        <v>25</v>
      </c>
      <c r="H166" t="s">
        <v>55</v>
      </c>
      <c r="I166">
        <v>6</v>
      </c>
      <c r="J166">
        <v>52000</v>
      </c>
      <c r="K166">
        <v>0.1</v>
      </c>
      <c r="L166">
        <v>280800</v>
      </c>
      <c r="M166">
        <v>205934.34</v>
      </c>
      <c r="N166">
        <v>74865.66</v>
      </c>
    </row>
    <row r="167" spans="1:14" x14ac:dyDescent="0.25">
      <c r="A167" t="s">
        <v>235</v>
      </c>
      <c r="B167">
        <v>45936</v>
      </c>
      <c r="C167" t="s">
        <v>27</v>
      </c>
      <c r="D167" t="s">
        <v>118</v>
      </c>
      <c r="E167" t="s">
        <v>23</v>
      </c>
      <c r="F167" t="s">
        <v>39</v>
      </c>
      <c r="G167" t="s">
        <v>89</v>
      </c>
      <c r="H167" t="s">
        <v>37</v>
      </c>
      <c r="I167">
        <v>6</v>
      </c>
      <c r="J167">
        <v>1200</v>
      </c>
      <c r="K167">
        <v>0</v>
      </c>
      <c r="L167">
        <v>7200</v>
      </c>
      <c r="M167">
        <v>5835.42</v>
      </c>
      <c r="N167">
        <v>1364.58</v>
      </c>
    </row>
    <row r="168" spans="1:14" x14ac:dyDescent="0.25">
      <c r="A168" t="s">
        <v>236</v>
      </c>
      <c r="B168">
        <v>45827</v>
      </c>
      <c r="C168" t="s">
        <v>33</v>
      </c>
      <c r="D168" t="s">
        <v>34</v>
      </c>
      <c r="E168" t="s">
        <v>29</v>
      </c>
      <c r="F168" t="s">
        <v>30</v>
      </c>
      <c r="G168" t="s">
        <v>54</v>
      </c>
      <c r="H168" t="s">
        <v>41</v>
      </c>
      <c r="I168">
        <v>8</v>
      </c>
      <c r="J168">
        <v>12000</v>
      </c>
      <c r="K168">
        <v>0.15</v>
      </c>
      <c r="L168">
        <v>81600</v>
      </c>
      <c r="M168">
        <v>56678.39</v>
      </c>
      <c r="N168">
        <v>24921.61</v>
      </c>
    </row>
    <row r="169" spans="1:14" x14ac:dyDescent="0.25">
      <c r="A169" t="s">
        <v>237</v>
      </c>
      <c r="B169">
        <v>45753</v>
      </c>
      <c r="C169" t="s">
        <v>27</v>
      </c>
      <c r="D169" t="s">
        <v>57</v>
      </c>
      <c r="E169" t="s">
        <v>29</v>
      </c>
      <c r="F169" t="s">
        <v>30</v>
      </c>
      <c r="G169" t="s">
        <v>31</v>
      </c>
      <c r="H169" t="s">
        <v>41</v>
      </c>
      <c r="I169">
        <v>7</v>
      </c>
      <c r="J169">
        <v>7000</v>
      </c>
      <c r="K169">
        <v>0</v>
      </c>
      <c r="L169">
        <v>49000</v>
      </c>
      <c r="M169">
        <v>35021.949999999997</v>
      </c>
      <c r="N169">
        <v>13978.05</v>
      </c>
    </row>
    <row r="170" spans="1:14" x14ac:dyDescent="0.25">
      <c r="A170" t="s">
        <v>238</v>
      </c>
      <c r="B170">
        <v>45750</v>
      </c>
      <c r="C170" t="s">
        <v>33</v>
      </c>
      <c r="D170" t="s">
        <v>63</v>
      </c>
      <c r="E170" t="s">
        <v>23</v>
      </c>
      <c r="F170" t="s">
        <v>24</v>
      </c>
      <c r="G170" t="s">
        <v>129</v>
      </c>
      <c r="H170" t="s">
        <v>41</v>
      </c>
      <c r="I170">
        <v>5</v>
      </c>
      <c r="J170">
        <v>58000</v>
      </c>
      <c r="K170">
        <v>0.1</v>
      </c>
      <c r="L170">
        <v>261000</v>
      </c>
      <c r="M170">
        <v>187424.48</v>
      </c>
      <c r="N170">
        <v>73575.520000000004</v>
      </c>
    </row>
    <row r="171" spans="1:14" x14ac:dyDescent="0.25">
      <c r="A171" t="s">
        <v>239</v>
      </c>
      <c r="B171">
        <v>45876</v>
      </c>
      <c r="C171" t="s">
        <v>43</v>
      </c>
      <c r="D171" t="s">
        <v>50</v>
      </c>
      <c r="E171" t="s">
        <v>29</v>
      </c>
      <c r="F171" t="s">
        <v>30</v>
      </c>
      <c r="G171" t="s">
        <v>31</v>
      </c>
      <c r="H171" t="s">
        <v>41</v>
      </c>
      <c r="I171">
        <v>6</v>
      </c>
      <c r="J171">
        <v>7000</v>
      </c>
      <c r="K171">
        <v>0.15</v>
      </c>
      <c r="L171">
        <v>35700</v>
      </c>
      <c r="M171">
        <v>24290.36</v>
      </c>
      <c r="N171">
        <v>11409.64</v>
      </c>
    </row>
    <row r="172" spans="1:14" x14ac:dyDescent="0.25">
      <c r="A172" t="s">
        <v>240</v>
      </c>
      <c r="B172">
        <v>45687</v>
      </c>
      <c r="C172" t="s">
        <v>15</v>
      </c>
      <c r="D172" t="s">
        <v>22</v>
      </c>
      <c r="E172" t="s">
        <v>29</v>
      </c>
      <c r="F172" t="s">
        <v>47</v>
      </c>
      <c r="G172" t="s">
        <v>68</v>
      </c>
      <c r="H172" t="s">
        <v>20</v>
      </c>
      <c r="I172">
        <v>8</v>
      </c>
      <c r="J172">
        <v>6500</v>
      </c>
      <c r="K172">
        <v>0</v>
      </c>
      <c r="L172">
        <v>52000</v>
      </c>
      <c r="M172">
        <v>33684.07</v>
      </c>
      <c r="N172">
        <v>18315.93</v>
      </c>
    </row>
    <row r="173" spans="1:14" x14ac:dyDescent="0.25">
      <c r="A173" t="s">
        <v>241</v>
      </c>
      <c r="B173">
        <v>45778</v>
      </c>
      <c r="C173" t="s">
        <v>33</v>
      </c>
      <c r="D173" t="s">
        <v>63</v>
      </c>
      <c r="E173" t="s">
        <v>29</v>
      </c>
      <c r="F173" t="s">
        <v>47</v>
      </c>
      <c r="G173" t="s">
        <v>48</v>
      </c>
      <c r="H173" t="s">
        <v>20</v>
      </c>
      <c r="I173">
        <v>8</v>
      </c>
      <c r="J173">
        <v>4200</v>
      </c>
      <c r="K173">
        <v>0.1</v>
      </c>
      <c r="L173">
        <v>30240</v>
      </c>
      <c r="M173">
        <v>21223.73</v>
      </c>
      <c r="N173">
        <v>9016.27</v>
      </c>
    </row>
    <row r="174" spans="1:14" x14ac:dyDescent="0.25">
      <c r="A174" t="s">
        <v>242</v>
      </c>
      <c r="B174">
        <v>45697</v>
      </c>
      <c r="C174" t="s">
        <v>43</v>
      </c>
      <c r="D174" t="s">
        <v>44</v>
      </c>
      <c r="E174" t="s">
        <v>29</v>
      </c>
      <c r="F174" t="s">
        <v>30</v>
      </c>
      <c r="G174" t="s">
        <v>51</v>
      </c>
      <c r="H174" t="s">
        <v>37</v>
      </c>
      <c r="I174">
        <v>4</v>
      </c>
      <c r="J174">
        <v>25000</v>
      </c>
      <c r="K174">
        <v>0</v>
      </c>
      <c r="L174">
        <v>100000</v>
      </c>
      <c r="M174">
        <v>62570.09</v>
      </c>
      <c r="N174">
        <v>37429.910000000003</v>
      </c>
    </row>
    <row r="175" spans="1:14" x14ac:dyDescent="0.25">
      <c r="A175" t="s">
        <v>243</v>
      </c>
      <c r="B175">
        <v>45753</v>
      </c>
      <c r="C175" t="s">
        <v>27</v>
      </c>
      <c r="D175" t="s">
        <v>57</v>
      </c>
      <c r="E175" t="s">
        <v>17</v>
      </c>
      <c r="F175" t="s">
        <v>78</v>
      </c>
      <c r="G175" t="s">
        <v>79</v>
      </c>
      <c r="H175" t="s">
        <v>37</v>
      </c>
      <c r="I175">
        <v>8</v>
      </c>
      <c r="J175">
        <v>250</v>
      </c>
      <c r="K175">
        <v>0.05</v>
      </c>
      <c r="L175">
        <v>1900</v>
      </c>
      <c r="M175">
        <v>1594.48</v>
      </c>
      <c r="N175">
        <v>305.52</v>
      </c>
    </row>
    <row r="176" spans="1:14" x14ac:dyDescent="0.25">
      <c r="A176" t="s">
        <v>244</v>
      </c>
      <c r="B176">
        <v>45804</v>
      </c>
      <c r="C176" t="s">
        <v>27</v>
      </c>
      <c r="D176" t="s">
        <v>28</v>
      </c>
      <c r="E176" t="s">
        <v>23</v>
      </c>
      <c r="F176" t="s">
        <v>24</v>
      </c>
      <c r="G176" t="s">
        <v>25</v>
      </c>
      <c r="H176" t="s">
        <v>45</v>
      </c>
      <c r="I176">
        <v>3</v>
      </c>
      <c r="J176">
        <v>52000</v>
      </c>
      <c r="K176">
        <v>0.15</v>
      </c>
      <c r="L176">
        <v>132600</v>
      </c>
      <c r="M176">
        <v>111304.14</v>
      </c>
      <c r="N176">
        <v>21295.86</v>
      </c>
    </row>
    <row r="177" spans="1:14" x14ac:dyDescent="0.25">
      <c r="A177" t="s">
        <v>245</v>
      </c>
      <c r="B177">
        <v>46007</v>
      </c>
      <c r="C177" t="s">
        <v>33</v>
      </c>
      <c r="D177" t="s">
        <v>63</v>
      </c>
      <c r="E177" t="s">
        <v>17</v>
      </c>
      <c r="F177" t="s">
        <v>78</v>
      </c>
      <c r="G177" t="s">
        <v>91</v>
      </c>
      <c r="H177" t="s">
        <v>70</v>
      </c>
      <c r="I177">
        <v>5</v>
      </c>
      <c r="J177">
        <v>180</v>
      </c>
      <c r="K177">
        <v>0.1</v>
      </c>
      <c r="L177">
        <v>810</v>
      </c>
      <c r="M177">
        <v>653.91</v>
      </c>
      <c r="N177">
        <v>156.09</v>
      </c>
    </row>
    <row r="178" spans="1:14" x14ac:dyDescent="0.25">
      <c r="A178" t="s">
        <v>246</v>
      </c>
      <c r="B178">
        <v>46022</v>
      </c>
      <c r="C178" t="s">
        <v>43</v>
      </c>
      <c r="D178" t="s">
        <v>44</v>
      </c>
      <c r="E178" t="s">
        <v>17</v>
      </c>
      <c r="F178" t="s">
        <v>78</v>
      </c>
      <c r="G178" t="s">
        <v>82</v>
      </c>
      <c r="H178" t="s">
        <v>20</v>
      </c>
      <c r="I178">
        <v>3</v>
      </c>
      <c r="J178">
        <v>450</v>
      </c>
      <c r="K178">
        <v>0.05</v>
      </c>
      <c r="L178">
        <v>1282.5</v>
      </c>
      <c r="M178">
        <v>1018.15</v>
      </c>
      <c r="N178">
        <v>264.35000000000002</v>
      </c>
    </row>
    <row r="179" spans="1:14" x14ac:dyDescent="0.25">
      <c r="A179" t="s">
        <v>247</v>
      </c>
      <c r="B179">
        <v>45671</v>
      </c>
      <c r="C179" t="s">
        <v>33</v>
      </c>
      <c r="D179" t="s">
        <v>63</v>
      </c>
      <c r="E179" t="s">
        <v>29</v>
      </c>
      <c r="F179" t="s">
        <v>47</v>
      </c>
      <c r="G179" t="s">
        <v>48</v>
      </c>
      <c r="H179" t="s">
        <v>55</v>
      </c>
      <c r="I179">
        <v>2</v>
      </c>
      <c r="J179">
        <v>4200</v>
      </c>
      <c r="K179">
        <v>0.1</v>
      </c>
      <c r="L179">
        <v>7560</v>
      </c>
      <c r="M179">
        <v>5349.42</v>
      </c>
      <c r="N179">
        <v>2210.58</v>
      </c>
    </row>
    <row r="180" spans="1:14" x14ac:dyDescent="0.25">
      <c r="A180" t="s">
        <v>248</v>
      </c>
      <c r="B180">
        <v>45903</v>
      </c>
      <c r="C180" t="s">
        <v>27</v>
      </c>
      <c r="D180" t="s">
        <v>57</v>
      </c>
      <c r="E180" t="s">
        <v>17</v>
      </c>
      <c r="F180" t="s">
        <v>78</v>
      </c>
      <c r="G180" t="s">
        <v>82</v>
      </c>
      <c r="H180" t="s">
        <v>37</v>
      </c>
      <c r="I180">
        <v>2</v>
      </c>
      <c r="J180">
        <v>450</v>
      </c>
      <c r="K180">
        <v>0.15</v>
      </c>
      <c r="L180">
        <v>765</v>
      </c>
      <c r="M180">
        <v>552.70000000000005</v>
      </c>
      <c r="N180">
        <v>212.3</v>
      </c>
    </row>
    <row r="181" spans="1:14" x14ac:dyDescent="0.25">
      <c r="A181" t="s">
        <v>249</v>
      </c>
      <c r="B181">
        <v>45922</v>
      </c>
      <c r="C181" t="s">
        <v>33</v>
      </c>
      <c r="D181" t="s">
        <v>59</v>
      </c>
      <c r="E181" t="s">
        <v>17</v>
      </c>
      <c r="F181" t="s">
        <v>78</v>
      </c>
      <c r="G181" t="s">
        <v>82</v>
      </c>
      <c r="H181" t="s">
        <v>45</v>
      </c>
      <c r="I181">
        <v>1</v>
      </c>
      <c r="J181">
        <v>450</v>
      </c>
      <c r="K181">
        <v>0</v>
      </c>
      <c r="L181">
        <v>450</v>
      </c>
      <c r="M181">
        <v>330.29</v>
      </c>
      <c r="N181">
        <v>119.71</v>
      </c>
    </row>
    <row r="182" spans="1:14" x14ac:dyDescent="0.25">
      <c r="A182" t="s">
        <v>250</v>
      </c>
      <c r="B182">
        <v>45813</v>
      </c>
      <c r="C182" t="s">
        <v>43</v>
      </c>
      <c r="D182" t="s">
        <v>75</v>
      </c>
      <c r="E182" t="s">
        <v>29</v>
      </c>
      <c r="F182" t="s">
        <v>47</v>
      </c>
      <c r="G182" t="s">
        <v>84</v>
      </c>
      <c r="H182" t="s">
        <v>70</v>
      </c>
      <c r="I182">
        <v>5</v>
      </c>
      <c r="J182">
        <v>10500</v>
      </c>
      <c r="K182">
        <v>0</v>
      </c>
      <c r="L182">
        <v>52500</v>
      </c>
      <c r="M182">
        <v>35444.49</v>
      </c>
      <c r="N182">
        <v>17055.509999999998</v>
      </c>
    </row>
    <row r="183" spans="1:14" x14ac:dyDescent="0.25">
      <c r="A183" t="s">
        <v>251</v>
      </c>
      <c r="B183">
        <v>45983</v>
      </c>
      <c r="C183" t="s">
        <v>33</v>
      </c>
      <c r="D183" t="s">
        <v>59</v>
      </c>
      <c r="E183" t="s">
        <v>17</v>
      </c>
      <c r="F183" t="s">
        <v>18</v>
      </c>
      <c r="G183" t="s">
        <v>19</v>
      </c>
      <c r="H183" t="s">
        <v>70</v>
      </c>
      <c r="I183">
        <v>3</v>
      </c>
      <c r="J183">
        <v>8500</v>
      </c>
      <c r="K183">
        <v>0.05</v>
      </c>
      <c r="L183">
        <v>24225</v>
      </c>
      <c r="M183">
        <v>15931.91</v>
      </c>
      <c r="N183">
        <v>8293.09</v>
      </c>
    </row>
    <row r="184" spans="1:14" x14ac:dyDescent="0.25">
      <c r="A184" t="s">
        <v>252</v>
      </c>
      <c r="B184">
        <v>45977</v>
      </c>
      <c r="C184" t="s">
        <v>33</v>
      </c>
      <c r="D184" t="s">
        <v>34</v>
      </c>
      <c r="E184" t="s">
        <v>23</v>
      </c>
      <c r="F184" t="s">
        <v>24</v>
      </c>
      <c r="G184" t="s">
        <v>25</v>
      </c>
      <c r="H184" t="s">
        <v>41</v>
      </c>
      <c r="I184">
        <v>5</v>
      </c>
      <c r="J184">
        <v>52000</v>
      </c>
      <c r="K184">
        <v>0.05</v>
      </c>
      <c r="L184">
        <v>247000</v>
      </c>
      <c r="M184">
        <v>194816.55</v>
      </c>
      <c r="N184">
        <v>52183.45</v>
      </c>
    </row>
    <row r="185" spans="1:14" x14ac:dyDescent="0.25">
      <c r="A185" t="s">
        <v>253</v>
      </c>
      <c r="B185">
        <v>45871</v>
      </c>
      <c r="C185" t="s">
        <v>15</v>
      </c>
      <c r="D185" t="s">
        <v>22</v>
      </c>
      <c r="E185" t="s">
        <v>17</v>
      </c>
      <c r="F185" t="s">
        <v>18</v>
      </c>
      <c r="G185" t="s">
        <v>99</v>
      </c>
      <c r="H185" t="s">
        <v>45</v>
      </c>
      <c r="I185">
        <v>4</v>
      </c>
      <c r="J185">
        <v>14500</v>
      </c>
      <c r="K185">
        <v>0.15</v>
      </c>
      <c r="L185">
        <v>49300</v>
      </c>
      <c r="M185">
        <v>33791.97</v>
      </c>
      <c r="N185">
        <v>15508.03</v>
      </c>
    </row>
    <row r="186" spans="1:14" x14ac:dyDescent="0.25">
      <c r="A186" t="s">
        <v>254</v>
      </c>
      <c r="B186">
        <v>45695</v>
      </c>
      <c r="C186" t="s">
        <v>15</v>
      </c>
      <c r="D186" t="s">
        <v>128</v>
      </c>
      <c r="E186" t="s">
        <v>29</v>
      </c>
      <c r="F186" t="s">
        <v>30</v>
      </c>
      <c r="G186" t="s">
        <v>54</v>
      </c>
      <c r="H186" t="s">
        <v>45</v>
      </c>
      <c r="I186">
        <v>4</v>
      </c>
      <c r="J186">
        <v>12000</v>
      </c>
      <c r="K186">
        <v>0.1</v>
      </c>
      <c r="L186">
        <v>43200</v>
      </c>
      <c r="M186">
        <v>32549.7</v>
      </c>
      <c r="N186">
        <v>10650.3</v>
      </c>
    </row>
    <row r="187" spans="1:14" x14ac:dyDescent="0.25">
      <c r="A187" t="s">
        <v>255</v>
      </c>
      <c r="B187">
        <v>45818</v>
      </c>
      <c r="C187" t="s">
        <v>33</v>
      </c>
      <c r="D187" t="s">
        <v>63</v>
      </c>
      <c r="E187" t="s">
        <v>29</v>
      </c>
      <c r="F187" t="s">
        <v>47</v>
      </c>
      <c r="G187" t="s">
        <v>84</v>
      </c>
      <c r="H187" t="s">
        <v>70</v>
      </c>
      <c r="I187">
        <v>2</v>
      </c>
      <c r="J187">
        <v>10500</v>
      </c>
      <c r="K187">
        <v>0.1</v>
      </c>
      <c r="L187">
        <v>18900</v>
      </c>
      <c r="M187">
        <v>12723.15</v>
      </c>
      <c r="N187">
        <v>6176.85</v>
      </c>
    </row>
    <row r="188" spans="1:14" x14ac:dyDescent="0.25">
      <c r="A188" t="s">
        <v>256</v>
      </c>
      <c r="B188">
        <v>45720</v>
      </c>
      <c r="C188" t="s">
        <v>33</v>
      </c>
      <c r="D188" t="s">
        <v>73</v>
      </c>
      <c r="E188" t="s">
        <v>23</v>
      </c>
      <c r="F188" t="s">
        <v>24</v>
      </c>
      <c r="G188" t="s">
        <v>25</v>
      </c>
      <c r="H188" t="s">
        <v>55</v>
      </c>
      <c r="I188">
        <v>5</v>
      </c>
      <c r="J188">
        <v>52000</v>
      </c>
      <c r="K188">
        <v>0.15</v>
      </c>
      <c r="L188">
        <v>221000</v>
      </c>
      <c r="M188">
        <v>179035.65</v>
      </c>
      <c r="N188">
        <v>41964.35</v>
      </c>
    </row>
    <row r="189" spans="1:14" x14ac:dyDescent="0.25">
      <c r="A189" t="s">
        <v>257</v>
      </c>
      <c r="B189">
        <v>45872</v>
      </c>
      <c r="C189" t="s">
        <v>43</v>
      </c>
      <c r="D189" t="s">
        <v>75</v>
      </c>
      <c r="E189" t="s">
        <v>29</v>
      </c>
      <c r="F189" t="s">
        <v>30</v>
      </c>
      <c r="G189" t="s">
        <v>31</v>
      </c>
      <c r="H189" t="s">
        <v>20</v>
      </c>
      <c r="I189">
        <v>8</v>
      </c>
      <c r="J189">
        <v>7000</v>
      </c>
      <c r="K189">
        <v>0.15</v>
      </c>
      <c r="L189">
        <v>47600</v>
      </c>
      <c r="M189">
        <v>34735.01</v>
      </c>
      <c r="N189">
        <v>12864.99</v>
      </c>
    </row>
    <row r="190" spans="1:14" x14ac:dyDescent="0.25">
      <c r="A190" t="s">
        <v>258</v>
      </c>
      <c r="B190">
        <v>45815</v>
      </c>
      <c r="C190" t="s">
        <v>27</v>
      </c>
      <c r="D190" t="s">
        <v>61</v>
      </c>
      <c r="E190" t="s">
        <v>23</v>
      </c>
      <c r="F190" t="s">
        <v>35</v>
      </c>
      <c r="G190" t="s">
        <v>136</v>
      </c>
      <c r="H190" t="s">
        <v>45</v>
      </c>
      <c r="I190">
        <v>4</v>
      </c>
      <c r="J190">
        <v>22000</v>
      </c>
      <c r="K190">
        <v>0.05</v>
      </c>
      <c r="L190">
        <v>83600</v>
      </c>
      <c r="M190">
        <v>62560.86</v>
      </c>
      <c r="N190">
        <v>21039.14</v>
      </c>
    </row>
    <row r="191" spans="1:14" x14ac:dyDescent="0.25">
      <c r="A191" t="s">
        <v>259</v>
      </c>
      <c r="B191">
        <v>45682</v>
      </c>
      <c r="C191" t="s">
        <v>15</v>
      </c>
      <c r="D191" t="s">
        <v>67</v>
      </c>
      <c r="E191" t="s">
        <v>29</v>
      </c>
      <c r="F191" t="s">
        <v>30</v>
      </c>
      <c r="G191" t="s">
        <v>54</v>
      </c>
      <c r="H191" t="s">
        <v>70</v>
      </c>
      <c r="I191">
        <v>1</v>
      </c>
      <c r="J191">
        <v>12000</v>
      </c>
      <c r="K191">
        <v>0</v>
      </c>
      <c r="L191">
        <v>12000</v>
      </c>
      <c r="M191">
        <v>8577.65</v>
      </c>
      <c r="N191">
        <v>3422.35</v>
      </c>
    </row>
    <row r="192" spans="1:14" x14ac:dyDescent="0.25">
      <c r="A192" t="s">
        <v>260</v>
      </c>
      <c r="B192">
        <v>45793</v>
      </c>
      <c r="C192" t="s">
        <v>33</v>
      </c>
      <c r="D192" t="s">
        <v>73</v>
      </c>
      <c r="E192" t="s">
        <v>29</v>
      </c>
      <c r="F192" t="s">
        <v>47</v>
      </c>
      <c r="G192" t="s">
        <v>84</v>
      </c>
      <c r="H192" t="s">
        <v>55</v>
      </c>
      <c r="I192">
        <v>4</v>
      </c>
      <c r="J192">
        <v>10500</v>
      </c>
      <c r="K192">
        <v>0.1</v>
      </c>
      <c r="L192">
        <v>37800</v>
      </c>
      <c r="M192">
        <v>28036.6</v>
      </c>
      <c r="N192">
        <v>9763.4</v>
      </c>
    </row>
    <row r="193" spans="1:14" x14ac:dyDescent="0.25">
      <c r="A193" t="s">
        <v>261</v>
      </c>
      <c r="B193">
        <v>45695</v>
      </c>
      <c r="C193" t="s">
        <v>27</v>
      </c>
      <c r="D193" t="s">
        <v>57</v>
      </c>
      <c r="E193" t="s">
        <v>17</v>
      </c>
      <c r="F193" t="s">
        <v>18</v>
      </c>
      <c r="G193" t="s">
        <v>19</v>
      </c>
      <c r="H193" t="s">
        <v>20</v>
      </c>
      <c r="I193">
        <v>2</v>
      </c>
      <c r="J193">
        <v>8500</v>
      </c>
      <c r="K193">
        <v>0.15</v>
      </c>
      <c r="L193">
        <v>14450</v>
      </c>
      <c r="M193">
        <v>10145.4</v>
      </c>
      <c r="N193">
        <v>4304.6000000000004</v>
      </c>
    </row>
    <row r="194" spans="1:14" x14ac:dyDescent="0.25">
      <c r="A194" t="s">
        <v>262</v>
      </c>
      <c r="B194">
        <v>45831</v>
      </c>
      <c r="C194" t="s">
        <v>33</v>
      </c>
      <c r="D194" t="s">
        <v>59</v>
      </c>
      <c r="E194" t="s">
        <v>23</v>
      </c>
      <c r="F194" t="s">
        <v>39</v>
      </c>
      <c r="G194" t="s">
        <v>93</v>
      </c>
      <c r="H194" t="s">
        <v>45</v>
      </c>
      <c r="I194">
        <v>1</v>
      </c>
      <c r="J194">
        <v>2500</v>
      </c>
      <c r="K194">
        <v>0</v>
      </c>
      <c r="L194">
        <v>2500</v>
      </c>
      <c r="M194">
        <v>1571.4</v>
      </c>
      <c r="N194">
        <v>928.6</v>
      </c>
    </row>
    <row r="195" spans="1:14" x14ac:dyDescent="0.25">
      <c r="A195" t="s">
        <v>263</v>
      </c>
      <c r="B195">
        <v>45828</v>
      </c>
      <c r="C195" t="s">
        <v>27</v>
      </c>
      <c r="D195" t="s">
        <v>57</v>
      </c>
      <c r="E195" t="s">
        <v>23</v>
      </c>
      <c r="F195" t="s">
        <v>39</v>
      </c>
      <c r="G195" t="s">
        <v>93</v>
      </c>
      <c r="H195" t="s">
        <v>20</v>
      </c>
      <c r="I195">
        <v>6</v>
      </c>
      <c r="J195">
        <v>2500</v>
      </c>
      <c r="K195">
        <v>0.1</v>
      </c>
      <c r="L195">
        <v>13500</v>
      </c>
      <c r="M195">
        <v>8852.6299999999992</v>
      </c>
      <c r="N195">
        <v>4647.37</v>
      </c>
    </row>
    <row r="196" spans="1:14" x14ac:dyDescent="0.25">
      <c r="A196" t="s">
        <v>264</v>
      </c>
      <c r="B196">
        <v>45973</v>
      </c>
      <c r="C196" t="s">
        <v>33</v>
      </c>
      <c r="D196" t="s">
        <v>63</v>
      </c>
      <c r="E196" t="s">
        <v>17</v>
      </c>
      <c r="F196" t="s">
        <v>18</v>
      </c>
      <c r="G196" t="s">
        <v>99</v>
      </c>
      <c r="H196" t="s">
        <v>45</v>
      </c>
      <c r="I196">
        <v>1</v>
      </c>
      <c r="J196">
        <v>14500</v>
      </c>
      <c r="K196">
        <v>0.1</v>
      </c>
      <c r="L196">
        <v>13050</v>
      </c>
      <c r="M196">
        <v>9041.99</v>
      </c>
      <c r="N196">
        <v>4008.01</v>
      </c>
    </row>
    <row r="197" spans="1:14" x14ac:dyDescent="0.25">
      <c r="A197" t="s">
        <v>265</v>
      </c>
      <c r="B197">
        <v>45714</v>
      </c>
      <c r="C197" t="s">
        <v>27</v>
      </c>
      <c r="D197" t="s">
        <v>118</v>
      </c>
      <c r="E197" t="s">
        <v>17</v>
      </c>
      <c r="F197" t="s">
        <v>78</v>
      </c>
      <c r="G197" t="s">
        <v>91</v>
      </c>
      <c r="H197" t="s">
        <v>45</v>
      </c>
      <c r="I197">
        <v>5</v>
      </c>
      <c r="J197">
        <v>180</v>
      </c>
      <c r="K197">
        <v>0.05</v>
      </c>
      <c r="L197">
        <v>855</v>
      </c>
      <c r="M197">
        <v>665.8</v>
      </c>
      <c r="N197">
        <v>189.2</v>
      </c>
    </row>
    <row r="198" spans="1:14" x14ac:dyDescent="0.25">
      <c r="A198" t="s">
        <v>266</v>
      </c>
      <c r="B198">
        <v>45956</v>
      </c>
      <c r="C198" t="s">
        <v>27</v>
      </c>
      <c r="D198" t="s">
        <v>28</v>
      </c>
      <c r="E198" t="s">
        <v>17</v>
      </c>
      <c r="F198" t="s">
        <v>18</v>
      </c>
      <c r="G198" t="s">
        <v>19</v>
      </c>
      <c r="H198" t="s">
        <v>41</v>
      </c>
      <c r="I198">
        <v>4</v>
      </c>
      <c r="J198">
        <v>8500</v>
      </c>
      <c r="K198">
        <v>0</v>
      </c>
      <c r="L198">
        <v>34000</v>
      </c>
      <c r="M198">
        <v>25362.83</v>
      </c>
      <c r="N198">
        <v>8637.17</v>
      </c>
    </row>
    <row r="199" spans="1:14" x14ac:dyDescent="0.25">
      <c r="A199" t="s">
        <v>267</v>
      </c>
      <c r="B199">
        <v>46016</v>
      </c>
      <c r="C199" t="s">
        <v>15</v>
      </c>
      <c r="D199" t="s">
        <v>128</v>
      </c>
      <c r="E199" t="s">
        <v>23</v>
      </c>
      <c r="F199" t="s">
        <v>35</v>
      </c>
      <c r="G199" t="s">
        <v>64</v>
      </c>
      <c r="H199" t="s">
        <v>45</v>
      </c>
      <c r="I199">
        <v>3</v>
      </c>
      <c r="J199">
        <v>31000</v>
      </c>
      <c r="K199">
        <v>0.15</v>
      </c>
      <c r="L199">
        <v>79050</v>
      </c>
      <c r="M199">
        <v>61019.49</v>
      </c>
      <c r="N199">
        <v>18030.509999999998</v>
      </c>
    </row>
    <row r="200" spans="1:14" x14ac:dyDescent="0.25">
      <c r="A200" t="s">
        <v>268</v>
      </c>
      <c r="B200">
        <v>45868</v>
      </c>
      <c r="C200" t="s">
        <v>27</v>
      </c>
      <c r="D200" t="s">
        <v>61</v>
      </c>
      <c r="E200" t="s">
        <v>17</v>
      </c>
      <c r="F200" t="s">
        <v>78</v>
      </c>
      <c r="G200" t="s">
        <v>91</v>
      </c>
      <c r="H200" t="s">
        <v>20</v>
      </c>
      <c r="I200">
        <v>6</v>
      </c>
      <c r="J200">
        <v>180</v>
      </c>
      <c r="K200">
        <v>0.15</v>
      </c>
      <c r="L200">
        <v>918</v>
      </c>
      <c r="M200">
        <v>675.29</v>
      </c>
      <c r="N200">
        <v>242.71</v>
      </c>
    </row>
    <row r="201" spans="1:14" x14ac:dyDescent="0.25">
      <c r="A201" t="s">
        <v>269</v>
      </c>
      <c r="B201">
        <v>45818</v>
      </c>
      <c r="C201" t="s">
        <v>43</v>
      </c>
      <c r="D201" t="s">
        <v>50</v>
      </c>
      <c r="E201" t="s">
        <v>17</v>
      </c>
      <c r="F201" t="s">
        <v>18</v>
      </c>
      <c r="G201" t="s">
        <v>99</v>
      </c>
      <c r="H201" t="s">
        <v>41</v>
      </c>
      <c r="I201">
        <v>5</v>
      </c>
      <c r="J201">
        <v>14500</v>
      </c>
      <c r="K201">
        <v>0.15</v>
      </c>
      <c r="L201">
        <v>61625</v>
      </c>
      <c r="M201">
        <v>40814.120000000003</v>
      </c>
      <c r="N201">
        <v>20810.88</v>
      </c>
    </row>
    <row r="202" spans="1:14" x14ac:dyDescent="0.25">
      <c r="A202" t="s">
        <v>270</v>
      </c>
      <c r="B202">
        <v>45784</v>
      </c>
      <c r="C202" t="s">
        <v>33</v>
      </c>
      <c r="D202" t="s">
        <v>63</v>
      </c>
      <c r="E202" t="s">
        <v>23</v>
      </c>
      <c r="F202" t="s">
        <v>35</v>
      </c>
      <c r="G202" t="s">
        <v>64</v>
      </c>
      <c r="H202" t="s">
        <v>41</v>
      </c>
      <c r="I202">
        <v>4</v>
      </c>
      <c r="J202">
        <v>31000</v>
      </c>
      <c r="K202">
        <v>0.15</v>
      </c>
      <c r="L202">
        <v>105400</v>
      </c>
      <c r="M202">
        <v>72699.539999999994</v>
      </c>
      <c r="N202">
        <v>32700.46</v>
      </c>
    </row>
    <row r="203" spans="1:14" x14ac:dyDescent="0.25">
      <c r="A203" t="s">
        <v>271</v>
      </c>
      <c r="B203">
        <v>45836</v>
      </c>
      <c r="C203" t="s">
        <v>33</v>
      </c>
      <c r="D203" t="s">
        <v>63</v>
      </c>
      <c r="E203" t="s">
        <v>23</v>
      </c>
      <c r="F203" t="s">
        <v>39</v>
      </c>
      <c r="G203" t="s">
        <v>93</v>
      </c>
      <c r="H203" t="s">
        <v>70</v>
      </c>
      <c r="I203">
        <v>7</v>
      </c>
      <c r="J203">
        <v>2500</v>
      </c>
      <c r="K203">
        <v>0.15</v>
      </c>
      <c r="L203">
        <v>14875</v>
      </c>
      <c r="M203">
        <v>11900.64</v>
      </c>
      <c r="N203">
        <v>2974.36</v>
      </c>
    </row>
    <row r="204" spans="1:14" x14ac:dyDescent="0.25">
      <c r="A204" t="s">
        <v>272</v>
      </c>
      <c r="B204">
        <v>45732</v>
      </c>
      <c r="C204" t="s">
        <v>33</v>
      </c>
      <c r="D204" t="s">
        <v>34</v>
      </c>
      <c r="E204" t="s">
        <v>29</v>
      </c>
      <c r="F204" t="s">
        <v>47</v>
      </c>
      <c r="G204" t="s">
        <v>84</v>
      </c>
      <c r="H204" t="s">
        <v>45</v>
      </c>
      <c r="I204">
        <v>5</v>
      </c>
      <c r="J204">
        <v>10500</v>
      </c>
      <c r="K204">
        <v>0.15</v>
      </c>
      <c r="L204">
        <v>44625</v>
      </c>
      <c r="M204">
        <v>29768.32</v>
      </c>
      <c r="N204">
        <v>14856.68</v>
      </c>
    </row>
    <row r="205" spans="1:14" x14ac:dyDescent="0.25">
      <c r="A205" t="s">
        <v>273</v>
      </c>
      <c r="B205">
        <v>45933</v>
      </c>
      <c r="C205" t="s">
        <v>33</v>
      </c>
      <c r="D205" t="s">
        <v>63</v>
      </c>
      <c r="E205" t="s">
        <v>23</v>
      </c>
      <c r="F205" t="s">
        <v>24</v>
      </c>
      <c r="G205" t="s">
        <v>76</v>
      </c>
      <c r="H205" t="s">
        <v>41</v>
      </c>
      <c r="I205">
        <v>4</v>
      </c>
      <c r="J205">
        <v>49000</v>
      </c>
      <c r="K205">
        <v>0.05</v>
      </c>
      <c r="L205">
        <v>186200</v>
      </c>
      <c r="M205">
        <v>117523.56</v>
      </c>
      <c r="N205">
        <v>68676.44</v>
      </c>
    </row>
    <row r="206" spans="1:14" x14ac:dyDescent="0.25">
      <c r="A206" t="s">
        <v>274</v>
      </c>
      <c r="B206">
        <v>45929</v>
      </c>
      <c r="C206" t="s">
        <v>43</v>
      </c>
      <c r="D206" t="s">
        <v>75</v>
      </c>
      <c r="E206" t="s">
        <v>23</v>
      </c>
      <c r="F206" t="s">
        <v>24</v>
      </c>
      <c r="G206" t="s">
        <v>129</v>
      </c>
      <c r="H206" t="s">
        <v>37</v>
      </c>
      <c r="I206">
        <v>8</v>
      </c>
      <c r="J206">
        <v>58000</v>
      </c>
      <c r="K206">
        <v>0</v>
      </c>
      <c r="L206">
        <v>464000</v>
      </c>
      <c r="M206">
        <v>357216.08</v>
      </c>
      <c r="N206">
        <v>106783.92</v>
      </c>
    </row>
    <row r="207" spans="1:14" x14ac:dyDescent="0.25">
      <c r="A207" t="s">
        <v>275</v>
      </c>
      <c r="B207">
        <v>45728</v>
      </c>
      <c r="C207" t="s">
        <v>15</v>
      </c>
      <c r="D207" t="s">
        <v>128</v>
      </c>
      <c r="E207" t="s">
        <v>29</v>
      </c>
      <c r="F207" t="s">
        <v>30</v>
      </c>
      <c r="G207" t="s">
        <v>54</v>
      </c>
      <c r="H207" t="s">
        <v>41</v>
      </c>
      <c r="I207">
        <v>4</v>
      </c>
      <c r="J207">
        <v>12000</v>
      </c>
      <c r="K207">
        <v>0.1</v>
      </c>
      <c r="L207">
        <v>43200</v>
      </c>
      <c r="M207">
        <v>29836.38</v>
      </c>
      <c r="N207">
        <v>13363.62</v>
      </c>
    </row>
    <row r="208" spans="1:14" x14ac:dyDescent="0.25">
      <c r="A208" t="s">
        <v>276</v>
      </c>
      <c r="B208">
        <v>45988</v>
      </c>
      <c r="C208" t="s">
        <v>15</v>
      </c>
      <c r="D208" t="s">
        <v>16</v>
      </c>
      <c r="E208" t="s">
        <v>17</v>
      </c>
      <c r="F208" t="s">
        <v>78</v>
      </c>
      <c r="G208" t="s">
        <v>91</v>
      </c>
      <c r="H208" t="s">
        <v>41</v>
      </c>
      <c r="I208">
        <v>1</v>
      </c>
      <c r="J208">
        <v>180</v>
      </c>
      <c r="K208">
        <v>0.05</v>
      </c>
      <c r="L208">
        <v>171</v>
      </c>
      <c r="M208">
        <v>121.74</v>
      </c>
      <c r="N208">
        <v>49.26</v>
      </c>
    </row>
    <row r="209" spans="1:14" x14ac:dyDescent="0.25">
      <c r="A209" t="s">
        <v>277</v>
      </c>
      <c r="B209">
        <v>45748</v>
      </c>
      <c r="C209" t="s">
        <v>15</v>
      </c>
      <c r="D209" t="s">
        <v>22</v>
      </c>
      <c r="E209" t="s">
        <v>29</v>
      </c>
      <c r="F209" t="s">
        <v>47</v>
      </c>
      <c r="G209" t="s">
        <v>48</v>
      </c>
      <c r="H209" t="s">
        <v>37</v>
      </c>
      <c r="I209">
        <v>1</v>
      </c>
      <c r="J209">
        <v>4200</v>
      </c>
      <c r="K209">
        <v>0</v>
      </c>
      <c r="L209">
        <v>4200</v>
      </c>
      <c r="M209">
        <v>2879.71</v>
      </c>
      <c r="N209">
        <v>1320.29</v>
      </c>
    </row>
    <row r="210" spans="1:14" x14ac:dyDescent="0.25">
      <c r="A210" t="s">
        <v>278</v>
      </c>
      <c r="B210">
        <v>45966</v>
      </c>
      <c r="C210" t="s">
        <v>15</v>
      </c>
      <c r="D210" t="s">
        <v>67</v>
      </c>
      <c r="E210" t="s">
        <v>29</v>
      </c>
      <c r="F210" t="s">
        <v>30</v>
      </c>
      <c r="G210" t="s">
        <v>51</v>
      </c>
      <c r="H210" t="s">
        <v>70</v>
      </c>
      <c r="I210">
        <v>8</v>
      </c>
      <c r="J210">
        <v>25000</v>
      </c>
      <c r="K210">
        <v>0.05</v>
      </c>
      <c r="L210">
        <v>190000</v>
      </c>
      <c r="M210">
        <v>153374.29999999999</v>
      </c>
      <c r="N210">
        <v>36625.699999999997</v>
      </c>
    </row>
    <row r="211" spans="1:14" x14ac:dyDescent="0.25">
      <c r="A211" t="s">
        <v>279</v>
      </c>
      <c r="B211">
        <v>45897</v>
      </c>
      <c r="C211" t="s">
        <v>33</v>
      </c>
      <c r="D211" t="s">
        <v>59</v>
      </c>
      <c r="E211" t="s">
        <v>23</v>
      </c>
      <c r="F211" t="s">
        <v>35</v>
      </c>
      <c r="G211" t="s">
        <v>36</v>
      </c>
      <c r="H211" t="s">
        <v>41</v>
      </c>
      <c r="I211">
        <v>8</v>
      </c>
      <c r="J211">
        <v>26000</v>
      </c>
      <c r="K211">
        <v>0.1</v>
      </c>
      <c r="L211">
        <v>187200</v>
      </c>
      <c r="M211">
        <v>145658.75</v>
      </c>
      <c r="N211">
        <v>41541.25</v>
      </c>
    </row>
    <row r="212" spans="1:14" x14ac:dyDescent="0.25">
      <c r="A212" t="s">
        <v>280</v>
      </c>
      <c r="B212">
        <v>45665</v>
      </c>
      <c r="C212" t="s">
        <v>33</v>
      </c>
      <c r="D212" t="s">
        <v>63</v>
      </c>
      <c r="E212" t="s">
        <v>17</v>
      </c>
      <c r="F212" t="s">
        <v>78</v>
      </c>
      <c r="G212" t="s">
        <v>82</v>
      </c>
      <c r="H212" t="s">
        <v>70</v>
      </c>
      <c r="I212">
        <v>7</v>
      </c>
      <c r="J212">
        <v>450</v>
      </c>
      <c r="K212">
        <v>0.15</v>
      </c>
      <c r="L212">
        <v>2677.5</v>
      </c>
      <c r="M212">
        <v>1963.58</v>
      </c>
      <c r="N212">
        <v>713.92</v>
      </c>
    </row>
    <row r="213" spans="1:14" x14ac:dyDescent="0.25">
      <c r="A213" t="s">
        <v>281</v>
      </c>
      <c r="B213">
        <v>45702</v>
      </c>
      <c r="C213" t="s">
        <v>27</v>
      </c>
      <c r="D213" t="s">
        <v>61</v>
      </c>
      <c r="E213" t="s">
        <v>23</v>
      </c>
      <c r="F213" t="s">
        <v>24</v>
      </c>
      <c r="G213" t="s">
        <v>129</v>
      </c>
      <c r="H213" t="s">
        <v>37</v>
      </c>
      <c r="I213">
        <v>4</v>
      </c>
      <c r="J213">
        <v>58000</v>
      </c>
      <c r="K213">
        <v>0</v>
      </c>
      <c r="L213">
        <v>232000</v>
      </c>
      <c r="M213">
        <v>157150.48000000001</v>
      </c>
      <c r="N213">
        <v>74849.52</v>
      </c>
    </row>
    <row r="214" spans="1:14" x14ac:dyDescent="0.25">
      <c r="A214" t="s">
        <v>282</v>
      </c>
      <c r="B214">
        <v>45778</v>
      </c>
      <c r="C214" t="s">
        <v>27</v>
      </c>
      <c r="D214" t="s">
        <v>118</v>
      </c>
      <c r="E214" t="s">
        <v>29</v>
      </c>
      <c r="F214" t="s">
        <v>30</v>
      </c>
      <c r="G214" t="s">
        <v>51</v>
      </c>
      <c r="H214" t="s">
        <v>41</v>
      </c>
      <c r="I214">
        <v>1</v>
      </c>
      <c r="J214">
        <v>25000</v>
      </c>
      <c r="K214">
        <v>0.1</v>
      </c>
      <c r="L214">
        <v>22500</v>
      </c>
      <c r="M214">
        <v>17185.73</v>
      </c>
      <c r="N214">
        <v>5314.27</v>
      </c>
    </row>
    <row r="215" spans="1:14" x14ac:dyDescent="0.25">
      <c r="A215" t="s">
        <v>283</v>
      </c>
      <c r="B215">
        <v>46012</v>
      </c>
      <c r="C215" t="s">
        <v>43</v>
      </c>
      <c r="D215" t="s">
        <v>53</v>
      </c>
      <c r="E215" t="s">
        <v>17</v>
      </c>
      <c r="F215" t="s">
        <v>78</v>
      </c>
      <c r="G215" t="s">
        <v>79</v>
      </c>
      <c r="H215" t="s">
        <v>37</v>
      </c>
      <c r="I215">
        <v>3</v>
      </c>
      <c r="J215">
        <v>250</v>
      </c>
      <c r="K215">
        <v>0.15</v>
      </c>
      <c r="L215">
        <v>637.5</v>
      </c>
      <c r="M215">
        <v>491.47</v>
      </c>
      <c r="N215">
        <v>146.03</v>
      </c>
    </row>
    <row r="216" spans="1:14" x14ac:dyDescent="0.25">
      <c r="A216" t="s">
        <v>284</v>
      </c>
      <c r="B216">
        <v>46018</v>
      </c>
      <c r="C216" t="s">
        <v>33</v>
      </c>
      <c r="D216" t="s">
        <v>34</v>
      </c>
      <c r="E216" t="s">
        <v>17</v>
      </c>
      <c r="F216" t="s">
        <v>18</v>
      </c>
      <c r="G216" t="s">
        <v>99</v>
      </c>
      <c r="H216" t="s">
        <v>70</v>
      </c>
      <c r="I216">
        <v>4</v>
      </c>
      <c r="J216">
        <v>14500</v>
      </c>
      <c r="K216">
        <v>0.05</v>
      </c>
      <c r="L216">
        <v>55100</v>
      </c>
      <c r="M216">
        <v>45767.12</v>
      </c>
      <c r="N216">
        <v>9332.8799999999992</v>
      </c>
    </row>
    <row r="217" spans="1:14" x14ac:dyDescent="0.25">
      <c r="A217" t="s">
        <v>285</v>
      </c>
      <c r="B217">
        <v>45902</v>
      </c>
      <c r="C217" t="s">
        <v>43</v>
      </c>
      <c r="D217" t="s">
        <v>50</v>
      </c>
      <c r="E217" t="s">
        <v>17</v>
      </c>
      <c r="F217" t="s">
        <v>18</v>
      </c>
      <c r="G217" t="s">
        <v>99</v>
      </c>
      <c r="H217" t="s">
        <v>41</v>
      </c>
      <c r="I217">
        <v>8</v>
      </c>
      <c r="J217">
        <v>14500</v>
      </c>
      <c r="K217">
        <v>0.05</v>
      </c>
      <c r="L217">
        <v>110200</v>
      </c>
      <c r="M217">
        <v>86794.52</v>
      </c>
      <c r="N217">
        <v>23405.48</v>
      </c>
    </row>
    <row r="218" spans="1:14" x14ac:dyDescent="0.25">
      <c r="A218" t="s">
        <v>286</v>
      </c>
      <c r="B218">
        <v>46006</v>
      </c>
      <c r="C218" t="s">
        <v>15</v>
      </c>
      <c r="D218" t="s">
        <v>22</v>
      </c>
      <c r="E218" t="s">
        <v>17</v>
      </c>
      <c r="F218" t="s">
        <v>18</v>
      </c>
      <c r="G218" t="s">
        <v>19</v>
      </c>
      <c r="H218" t="s">
        <v>70</v>
      </c>
      <c r="I218">
        <v>2</v>
      </c>
      <c r="J218">
        <v>8500</v>
      </c>
      <c r="K218">
        <v>0</v>
      </c>
      <c r="L218">
        <v>17000</v>
      </c>
      <c r="M218">
        <v>13639.61</v>
      </c>
      <c r="N218">
        <v>3360.39</v>
      </c>
    </row>
    <row r="219" spans="1:14" x14ac:dyDescent="0.25">
      <c r="A219" t="s">
        <v>287</v>
      </c>
      <c r="B219">
        <v>45916</v>
      </c>
      <c r="C219" t="s">
        <v>43</v>
      </c>
      <c r="D219" t="s">
        <v>75</v>
      </c>
      <c r="E219" t="s">
        <v>23</v>
      </c>
      <c r="F219" t="s">
        <v>35</v>
      </c>
      <c r="G219" t="s">
        <v>136</v>
      </c>
      <c r="H219" t="s">
        <v>45</v>
      </c>
      <c r="I219">
        <v>2</v>
      </c>
      <c r="J219">
        <v>22000</v>
      </c>
      <c r="K219">
        <v>0.05</v>
      </c>
      <c r="L219">
        <v>41800</v>
      </c>
      <c r="M219">
        <v>32508.78</v>
      </c>
      <c r="N219">
        <v>9291.2199999999993</v>
      </c>
    </row>
    <row r="220" spans="1:14" x14ac:dyDescent="0.25">
      <c r="A220" t="s">
        <v>288</v>
      </c>
      <c r="B220">
        <v>45908</v>
      </c>
      <c r="C220" t="s">
        <v>15</v>
      </c>
      <c r="D220" t="s">
        <v>22</v>
      </c>
      <c r="E220" t="s">
        <v>23</v>
      </c>
      <c r="F220" t="s">
        <v>35</v>
      </c>
      <c r="G220" t="s">
        <v>36</v>
      </c>
      <c r="H220" t="s">
        <v>70</v>
      </c>
      <c r="I220">
        <v>7</v>
      </c>
      <c r="J220">
        <v>26000</v>
      </c>
      <c r="K220">
        <v>0.15</v>
      </c>
      <c r="L220">
        <v>154700</v>
      </c>
      <c r="M220">
        <v>115106.15</v>
      </c>
      <c r="N220">
        <v>39593.85</v>
      </c>
    </row>
    <row r="221" spans="1:14" x14ac:dyDescent="0.25">
      <c r="A221" t="s">
        <v>289</v>
      </c>
      <c r="B221">
        <v>45944</v>
      </c>
      <c r="C221" t="s">
        <v>27</v>
      </c>
      <c r="D221" t="s">
        <v>118</v>
      </c>
      <c r="E221" t="s">
        <v>17</v>
      </c>
      <c r="F221" t="s">
        <v>78</v>
      </c>
      <c r="G221" t="s">
        <v>79</v>
      </c>
      <c r="H221" t="s">
        <v>37</v>
      </c>
      <c r="I221">
        <v>1</v>
      </c>
      <c r="J221">
        <v>250</v>
      </c>
      <c r="K221">
        <v>0.05</v>
      </c>
      <c r="L221">
        <v>237.5</v>
      </c>
      <c r="M221">
        <v>177.47</v>
      </c>
      <c r="N221">
        <v>60.03</v>
      </c>
    </row>
    <row r="222" spans="1:14" x14ac:dyDescent="0.25">
      <c r="A222" t="s">
        <v>290</v>
      </c>
      <c r="B222">
        <v>45681</v>
      </c>
      <c r="C222" t="s">
        <v>27</v>
      </c>
      <c r="D222" t="s">
        <v>118</v>
      </c>
      <c r="E222" t="s">
        <v>17</v>
      </c>
      <c r="F222" t="s">
        <v>78</v>
      </c>
      <c r="G222" t="s">
        <v>91</v>
      </c>
      <c r="H222" t="s">
        <v>55</v>
      </c>
      <c r="I222">
        <v>2</v>
      </c>
      <c r="J222">
        <v>180</v>
      </c>
      <c r="K222">
        <v>0.15</v>
      </c>
      <c r="L222">
        <v>306</v>
      </c>
      <c r="M222">
        <v>191.86</v>
      </c>
      <c r="N222">
        <v>114.14</v>
      </c>
    </row>
    <row r="223" spans="1:14" x14ac:dyDescent="0.25">
      <c r="A223" t="s">
        <v>291</v>
      </c>
      <c r="B223">
        <v>45867</v>
      </c>
      <c r="C223" t="s">
        <v>43</v>
      </c>
      <c r="D223" t="s">
        <v>75</v>
      </c>
      <c r="E223" t="s">
        <v>17</v>
      </c>
      <c r="F223" t="s">
        <v>18</v>
      </c>
      <c r="G223" t="s">
        <v>99</v>
      </c>
      <c r="H223" t="s">
        <v>45</v>
      </c>
      <c r="I223">
        <v>8</v>
      </c>
      <c r="J223">
        <v>14500</v>
      </c>
      <c r="K223">
        <v>0.15</v>
      </c>
      <c r="L223">
        <v>98600</v>
      </c>
      <c r="M223">
        <v>69280.5</v>
      </c>
      <c r="N223">
        <v>29319.5</v>
      </c>
    </row>
    <row r="224" spans="1:14" x14ac:dyDescent="0.25">
      <c r="A224" t="s">
        <v>292</v>
      </c>
      <c r="B224">
        <v>46007</v>
      </c>
      <c r="C224" t="s">
        <v>43</v>
      </c>
      <c r="D224" t="s">
        <v>44</v>
      </c>
      <c r="E224" t="s">
        <v>23</v>
      </c>
      <c r="F224" t="s">
        <v>24</v>
      </c>
      <c r="G224" t="s">
        <v>76</v>
      </c>
      <c r="H224" t="s">
        <v>45</v>
      </c>
      <c r="I224">
        <v>3</v>
      </c>
      <c r="J224">
        <v>49000</v>
      </c>
      <c r="K224">
        <v>0.05</v>
      </c>
      <c r="L224">
        <v>139650</v>
      </c>
      <c r="M224">
        <v>112231.22</v>
      </c>
      <c r="N224">
        <v>27418.78</v>
      </c>
    </row>
    <row r="225" spans="1:14" x14ac:dyDescent="0.25">
      <c r="A225" t="s">
        <v>293</v>
      </c>
      <c r="B225">
        <v>45669</v>
      </c>
      <c r="C225" t="s">
        <v>33</v>
      </c>
      <c r="D225" t="s">
        <v>73</v>
      </c>
      <c r="E225" t="s">
        <v>17</v>
      </c>
      <c r="F225" t="s">
        <v>18</v>
      </c>
      <c r="G225" t="s">
        <v>99</v>
      </c>
      <c r="H225" t="s">
        <v>20</v>
      </c>
      <c r="I225">
        <v>4</v>
      </c>
      <c r="J225">
        <v>14500</v>
      </c>
      <c r="K225">
        <v>0.15</v>
      </c>
      <c r="L225">
        <v>49300</v>
      </c>
      <c r="M225">
        <v>34320.449999999997</v>
      </c>
      <c r="N225">
        <v>14979.55</v>
      </c>
    </row>
    <row r="226" spans="1:14" x14ac:dyDescent="0.25">
      <c r="A226" t="s">
        <v>294</v>
      </c>
      <c r="B226">
        <v>45799</v>
      </c>
      <c r="C226" t="s">
        <v>43</v>
      </c>
      <c r="D226" t="s">
        <v>53</v>
      </c>
      <c r="E226" t="s">
        <v>23</v>
      </c>
      <c r="F226" t="s">
        <v>39</v>
      </c>
      <c r="G226" t="s">
        <v>40</v>
      </c>
      <c r="H226" t="s">
        <v>70</v>
      </c>
      <c r="I226">
        <v>1</v>
      </c>
      <c r="J226">
        <v>1800</v>
      </c>
      <c r="K226">
        <v>0.05</v>
      </c>
      <c r="L226">
        <v>1710</v>
      </c>
      <c r="M226">
        <v>1137.73</v>
      </c>
      <c r="N226">
        <v>572.27</v>
      </c>
    </row>
    <row r="227" spans="1:14" x14ac:dyDescent="0.25">
      <c r="A227" t="s">
        <v>295</v>
      </c>
      <c r="B227">
        <v>45709</v>
      </c>
      <c r="C227" t="s">
        <v>15</v>
      </c>
      <c r="D227" t="s">
        <v>22</v>
      </c>
      <c r="E227" t="s">
        <v>17</v>
      </c>
      <c r="F227" t="s">
        <v>78</v>
      </c>
      <c r="G227" t="s">
        <v>82</v>
      </c>
      <c r="H227" t="s">
        <v>41</v>
      </c>
      <c r="I227">
        <v>1</v>
      </c>
      <c r="J227">
        <v>450</v>
      </c>
      <c r="K227">
        <v>0.15</v>
      </c>
      <c r="L227">
        <v>382.5</v>
      </c>
      <c r="M227">
        <v>274.08999999999997</v>
      </c>
      <c r="N227">
        <v>108.41</v>
      </c>
    </row>
    <row r="228" spans="1:14" x14ac:dyDescent="0.25">
      <c r="A228" t="s">
        <v>296</v>
      </c>
      <c r="B228">
        <v>45934</v>
      </c>
      <c r="C228" t="s">
        <v>43</v>
      </c>
      <c r="D228" t="s">
        <v>53</v>
      </c>
      <c r="E228" t="s">
        <v>23</v>
      </c>
      <c r="F228" t="s">
        <v>39</v>
      </c>
      <c r="G228" t="s">
        <v>40</v>
      </c>
      <c r="H228" t="s">
        <v>20</v>
      </c>
      <c r="I228">
        <v>6</v>
      </c>
      <c r="J228">
        <v>1800</v>
      </c>
      <c r="K228">
        <v>0.1</v>
      </c>
      <c r="L228">
        <v>9720</v>
      </c>
      <c r="M228">
        <v>6533</v>
      </c>
      <c r="N228">
        <v>3187</v>
      </c>
    </row>
    <row r="229" spans="1:14" x14ac:dyDescent="0.25">
      <c r="A229" t="s">
        <v>297</v>
      </c>
      <c r="B229">
        <v>45731</v>
      </c>
      <c r="C229" t="s">
        <v>43</v>
      </c>
      <c r="D229" t="s">
        <v>50</v>
      </c>
      <c r="E229" t="s">
        <v>29</v>
      </c>
      <c r="F229" t="s">
        <v>30</v>
      </c>
      <c r="G229" t="s">
        <v>31</v>
      </c>
      <c r="H229" t="s">
        <v>70</v>
      </c>
      <c r="I229">
        <v>3</v>
      </c>
      <c r="J229">
        <v>7000</v>
      </c>
      <c r="K229">
        <v>0.15</v>
      </c>
      <c r="L229">
        <v>17850</v>
      </c>
      <c r="M229">
        <v>13249.83</v>
      </c>
      <c r="N229">
        <v>4600.17</v>
      </c>
    </row>
    <row r="230" spans="1:14" x14ac:dyDescent="0.25">
      <c r="A230" t="s">
        <v>298</v>
      </c>
      <c r="B230">
        <v>45682</v>
      </c>
      <c r="C230" t="s">
        <v>33</v>
      </c>
      <c r="D230" t="s">
        <v>73</v>
      </c>
      <c r="E230" t="s">
        <v>17</v>
      </c>
      <c r="F230" t="s">
        <v>18</v>
      </c>
      <c r="G230" t="s">
        <v>99</v>
      </c>
      <c r="H230" t="s">
        <v>45</v>
      </c>
      <c r="I230">
        <v>3</v>
      </c>
      <c r="J230">
        <v>14500</v>
      </c>
      <c r="K230">
        <v>0.1</v>
      </c>
      <c r="L230">
        <v>39150</v>
      </c>
      <c r="M230">
        <v>27515.45</v>
      </c>
      <c r="N230">
        <v>11634.55</v>
      </c>
    </row>
    <row r="231" spans="1:14" x14ac:dyDescent="0.25">
      <c r="A231" t="s">
        <v>299</v>
      </c>
      <c r="B231">
        <v>45933</v>
      </c>
      <c r="C231" t="s">
        <v>27</v>
      </c>
      <c r="D231" t="s">
        <v>28</v>
      </c>
      <c r="E231" t="s">
        <v>23</v>
      </c>
      <c r="F231" t="s">
        <v>35</v>
      </c>
      <c r="G231" t="s">
        <v>136</v>
      </c>
      <c r="H231" t="s">
        <v>20</v>
      </c>
      <c r="I231">
        <v>8</v>
      </c>
      <c r="J231">
        <v>22000</v>
      </c>
      <c r="K231">
        <v>0</v>
      </c>
      <c r="L231">
        <v>176000</v>
      </c>
      <c r="M231">
        <v>130895.58</v>
      </c>
      <c r="N231">
        <v>45104.42</v>
      </c>
    </row>
    <row r="232" spans="1:14" x14ac:dyDescent="0.25">
      <c r="A232" t="s">
        <v>300</v>
      </c>
      <c r="B232">
        <v>45871</v>
      </c>
      <c r="C232" t="s">
        <v>43</v>
      </c>
      <c r="D232" t="s">
        <v>50</v>
      </c>
      <c r="E232" t="s">
        <v>23</v>
      </c>
      <c r="F232" t="s">
        <v>35</v>
      </c>
      <c r="G232" t="s">
        <v>36</v>
      </c>
      <c r="H232" t="s">
        <v>37</v>
      </c>
      <c r="I232">
        <v>2</v>
      </c>
      <c r="J232">
        <v>26000</v>
      </c>
      <c r="K232">
        <v>0.15</v>
      </c>
      <c r="L232">
        <v>44200</v>
      </c>
      <c r="M232">
        <v>35641.53</v>
      </c>
      <c r="N232">
        <v>8558.4699999999993</v>
      </c>
    </row>
    <row r="233" spans="1:14" x14ac:dyDescent="0.25">
      <c r="A233" t="s">
        <v>301</v>
      </c>
      <c r="B233">
        <v>45705</v>
      </c>
      <c r="C233" t="s">
        <v>43</v>
      </c>
      <c r="D233" t="s">
        <v>53</v>
      </c>
      <c r="E233" t="s">
        <v>29</v>
      </c>
      <c r="F233" t="s">
        <v>30</v>
      </c>
      <c r="G233" t="s">
        <v>51</v>
      </c>
      <c r="H233" t="s">
        <v>70</v>
      </c>
      <c r="I233">
        <v>1</v>
      </c>
      <c r="J233">
        <v>25000</v>
      </c>
      <c r="K233">
        <v>0</v>
      </c>
      <c r="L233">
        <v>25000</v>
      </c>
      <c r="M233">
        <v>16534.900000000001</v>
      </c>
      <c r="N233">
        <v>8465.1</v>
      </c>
    </row>
    <row r="234" spans="1:14" x14ac:dyDescent="0.25">
      <c r="A234" t="s">
        <v>302</v>
      </c>
      <c r="B234">
        <v>45958</v>
      </c>
      <c r="C234" t="s">
        <v>43</v>
      </c>
      <c r="D234" t="s">
        <v>50</v>
      </c>
      <c r="E234" t="s">
        <v>23</v>
      </c>
      <c r="F234" t="s">
        <v>35</v>
      </c>
      <c r="G234" t="s">
        <v>64</v>
      </c>
      <c r="H234" t="s">
        <v>55</v>
      </c>
      <c r="I234">
        <v>4</v>
      </c>
      <c r="J234">
        <v>31000</v>
      </c>
      <c r="K234">
        <v>0.05</v>
      </c>
      <c r="L234">
        <v>117800</v>
      </c>
      <c r="M234">
        <v>97969.2</v>
      </c>
      <c r="N234">
        <v>19830.8</v>
      </c>
    </row>
    <row r="235" spans="1:14" x14ac:dyDescent="0.25">
      <c r="A235" t="s">
        <v>303</v>
      </c>
      <c r="B235">
        <v>45718</v>
      </c>
      <c r="C235" t="s">
        <v>27</v>
      </c>
      <c r="D235" t="s">
        <v>28</v>
      </c>
      <c r="E235" t="s">
        <v>17</v>
      </c>
      <c r="F235" t="s">
        <v>78</v>
      </c>
      <c r="G235" t="s">
        <v>79</v>
      </c>
      <c r="H235" t="s">
        <v>20</v>
      </c>
      <c r="I235">
        <v>6</v>
      </c>
      <c r="J235">
        <v>250</v>
      </c>
      <c r="K235">
        <v>0.1</v>
      </c>
      <c r="L235">
        <v>1350</v>
      </c>
      <c r="M235">
        <v>950.06</v>
      </c>
      <c r="N235">
        <v>399.94</v>
      </c>
    </row>
    <row r="236" spans="1:14" x14ac:dyDescent="0.25">
      <c r="A236" t="s">
        <v>304</v>
      </c>
      <c r="B236">
        <v>45931</v>
      </c>
      <c r="C236" t="s">
        <v>33</v>
      </c>
      <c r="D236" t="s">
        <v>63</v>
      </c>
      <c r="E236" t="s">
        <v>29</v>
      </c>
      <c r="F236" t="s">
        <v>30</v>
      </c>
      <c r="G236" t="s">
        <v>51</v>
      </c>
      <c r="H236" t="s">
        <v>45</v>
      </c>
      <c r="I236">
        <v>8</v>
      </c>
      <c r="J236">
        <v>25000</v>
      </c>
      <c r="K236">
        <v>0</v>
      </c>
      <c r="L236">
        <v>200000</v>
      </c>
      <c r="M236">
        <v>159323.93</v>
      </c>
      <c r="N236">
        <v>40676.07</v>
      </c>
    </row>
    <row r="237" spans="1:14" x14ac:dyDescent="0.25">
      <c r="A237" t="s">
        <v>305</v>
      </c>
      <c r="B237">
        <v>45898</v>
      </c>
      <c r="C237" t="s">
        <v>33</v>
      </c>
      <c r="D237" t="s">
        <v>59</v>
      </c>
      <c r="E237" t="s">
        <v>29</v>
      </c>
      <c r="F237" t="s">
        <v>30</v>
      </c>
      <c r="G237" t="s">
        <v>54</v>
      </c>
      <c r="H237" t="s">
        <v>55</v>
      </c>
      <c r="I237">
        <v>4</v>
      </c>
      <c r="J237">
        <v>12000</v>
      </c>
      <c r="K237">
        <v>0.05</v>
      </c>
      <c r="L237">
        <v>45600</v>
      </c>
      <c r="M237">
        <v>28434.720000000001</v>
      </c>
      <c r="N237">
        <v>17165.28</v>
      </c>
    </row>
    <row r="238" spans="1:14" x14ac:dyDescent="0.25">
      <c r="A238" t="s">
        <v>306</v>
      </c>
      <c r="B238">
        <v>45941</v>
      </c>
      <c r="C238" t="s">
        <v>27</v>
      </c>
      <c r="D238" t="s">
        <v>118</v>
      </c>
      <c r="E238" t="s">
        <v>23</v>
      </c>
      <c r="F238" t="s">
        <v>24</v>
      </c>
      <c r="G238" t="s">
        <v>129</v>
      </c>
      <c r="H238" t="s">
        <v>20</v>
      </c>
      <c r="I238">
        <v>7</v>
      </c>
      <c r="J238">
        <v>58000</v>
      </c>
      <c r="K238">
        <v>0.05</v>
      </c>
      <c r="L238">
        <v>385700</v>
      </c>
      <c r="M238">
        <v>281501.73</v>
      </c>
      <c r="N238">
        <v>104198.27</v>
      </c>
    </row>
    <row r="239" spans="1:14" x14ac:dyDescent="0.25">
      <c r="A239" t="s">
        <v>307</v>
      </c>
      <c r="B239">
        <v>45993</v>
      </c>
      <c r="C239" t="s">
        <v>33</v>
      </c>
      <c r="D239" t="s">
        <v>63</v>
      </c>
      <c r="E239" t="s">
        <v>29</v>
      </c>
      <c r="F239" t="s">
        <v>30</v>
      </c>
      <c r="G239" t="s">
        <v>54</v>
      </c>
      <c r="H239" t="s">
        <v>20</v>
      </c>
      <c r="I239">
        <v>6</v>
      </c>
      <c r="J239">
        <v>12000</v>
      </c>
      <c r="K239">
        <v>0.05</v>
      </c>
      <c r="L239">
        <v>68400</v>
      </c>
      <c r="M239">
        <v>44514.1</v>
      </c>
      <c r="N239">
        <v>23885.9</v>
      </c>
    </row>
    <row r="240" spans="1:14" x14ac:dyDescent="0.25">
      <c r="A240" t="s">
        <v>308</v>
      </c>
      <c r="B240">
        <v>45937</v>
      </c>
      <c r="C240" t="s">
        <v>27</v>
      </c>
      <c r="D240" t="s">
        <v>28</v>
      </c>
      <c r="E240" t="s">
        <v>17</v>
      </c>
      <c r="F240" t="s">
        <v>78</v>
      </c>
      <c r="G240" t="s">
        <v>91</v>
      </c>
      <c r="H240" t="s">
        <v>55</v>
      </c>
      <c r="I240">
        <v>2</v>
      </c>
      <c r="J240">
        <v>180</v>
      </c>
      <c r="K240">
        <v>0</v>
      </c>
      <c r="L240">
        <v>360</v>
      </c>
      <c r="M240">
        <v>283.74</v>
      </c>
      <c r="N240">
        <v>76.260000000000005</v>
      </c>
    </row>
    <row r="241" spans="1:14" x14ac:dyDescent="0.25">
      <c r="A241" t="s">
        <v>309</v>
      </c>
      <c r="B241">
        <v>45869</v>
      </c>
      <c r="C241" t="s">
        <v>43</v>
      </c>
      <c r="D241" t="s">
        <v>75</v>
      </c>
      <c r="E241" t="s">
        <v>23</v>
      </c>
      <c r="F241" t="s">
        <v>39</v>
      </c>
      <c r="G241" t="s">
        <v>89</v>
      </c>
      <c r="H241" t="s">
        <v>55</v>
      </c>
      <c r="I241">
        <v>4</v>
      </c>
      <c r="J241">
        <v>1200</v>
      </c>
      <c r="K241">
        <v>0.15</v>
      </c>
      <c r="L241">
        <v>4080</v>
      </c>
      <c r="M241">
        <v>2864.58</v>
      </c>
      <c r="N241">
        <v>1215.42</v>
      </c>
    </row>
    <row r="242" spans="1:14" x14ac:dyDescent="0.25">
      <c r="A242" t="s">
        <v>310</v>
      </c>
      <c r="B242">
        <v>45974</v>
      </c>
      <c r="C242" t="s">
        <v>27</v>
      </c>
      <c r="D242" t="s">
        <v>57</v>
      </c>
      <c r="E242" t="s">
        <v>23</v>
      </c>
      <c r="F242" t="s">
        <v>24</v>
      </c>
      <c r="G242" t="s">
        <v>76</v>
      </c>
      <c r="H242" t="s">
        <v>70</v>
      </c>
      <c r="I242">
        <v>7</v>
      </c>
      <c r="J242">
        <v>49000</v>
      </c>
      <c r="K242">
        <v>0</v>
      </c>
      <c r="L242">
        <v>343000</v>
      </c>
      <c r="M242">
        <v>213922.16</v>
      </c>
      <c r="N242">
        <v>129077.84</v>
      </c>
    </row>
    <row r="243" spans="1:14" x14ac:dyDescent="0.25">
      <c r="A243" t="s">
        <v>311</v>
      </c>
      <c r="B243">
        <v>45798</v>
      </c>
      <c r="C243" t="s">
        <v>33</v>
      </c>
      <c r="D243" t="s">
        <v>34</v>
      </c>
      <c r="E243" t="s">
        <v>17</v>
      </c>
      <c r="F243" t="s">
        <v>18</v>
      </c>
      <c r="G243" t="s">
        <v>19</v>
      </c>
      <c r="H243" t="s">
        <v>55</v>
      </c>
      <c r="I243">
        <v>2</v>
      </c>
      <c r="J243">
        <v>8500</v>
      </c>
      <c r="K243">
        <v>0.05</v>
      </c>
      <c r="L243">
        <v>16150</v>
      </c>
      <c r="M243">
        <v>10869.16</v>
      </c>
      <c r="N243">
        <v>5280.84</v>
      </c>
    </row>
    <row r="244" spans="1:14" x14ac:dyDescent="0.25">
      <c r="A244" t="s">
        <v>312</v>
      </c>
      <c r="B244">
        <v>45975</v>
      </c>
      <c r="C244" t="s">
        <v>33</v>
      </c>
      <c r="D244" t="s">
        <v>63</v>
      </c>
      <c r="E244" t="s">
        <v>29</v>
      </c>
      <c r="F244" t="s">
        <v>30</v>
      </c>
      <c r="G244" t="s">
        <v>31</v>
      </c>
      <c r="H244" t="s">
        <v>37</v>
      </c>
      <c r="I244">
        <v>7</v>
      </c>
      <c r="J244">
        <v>7000</v>
      </c>
      <c r="K244">
        <v>0.15</v>
      </c>
      <c r="L244">
        <v>41650</v>
      </c>
      <c r="M244">
        <v>31000.11</v>
      </c>
      <c r="N244">
        <v>10649.89</v>
      </c>
    </row>
    <row r="245" spans="1:14" x14ac:dyDescent="0.25">
      <c r="A245" t="s">
        <v>313</v>
      </c>
      <c r="B245">
        <v>46014</v>
      </c>
      <c r="C245" t="s">
        <v>43</v>
      </c>
      <c r="D245" t="s">
        <v>44</v>
      </c>
      <c r="E245" t="s">
        <v>17</v>
      </c>
      <c r="F245" t="s">
        <v>78</v>
      </c>
      <c r="G245" t="s">
        <v>91</v>
      </c>
      <c r="H245" t="s">
        <v>41</v>
      </c>
      <c r="I245">
        <v>1</v>
      </c>
      <c r="J245">
        <v>180</v>
      </c>
      <c r="K245">
        <v>0</v>
      </c>
      <c r="L245">
        <v>180</v>
      </c>
      <c r="M245">
        <v>127.65</v>
      </c>
      <c r="N245">
        <v>52.35</v>
      </c>
    </row>
    <row r="246" spans="1:14" x14ac:dyDescent="0.25">
      <c r="A246" t="s">
        <v>314</v>
      </c>
      <c r="B246">
        <v>45851</v>
      </c>
      <c r="C246" t="s">
        <v>27</v>
      </c>
      <c r="D246" t="s">
        <v>61</v>
      </c>
      <c r="E246" t="s">
        <v>17</v>
      </c>
      <c r="F246" t="s">
        <v>78</v>
      </c>
      <c r="G246" t="s">
        <v>91</v>
      </c>
      <c r="H246" t="s">
        <v>20</v>
      </c>
      <c r="I246">
        <v>2</v>
      </c>
      <c r="J246">
        <v>180</v>
      </c>
      <c r="K246">
        <v>0.15</v>
      </c>
      <c r="L246">
        <v>306</v>
      </c>
      <c r="M246">
        <v>246.63</v>
      </c>
      <c r="N246">
        <v>59.37</v>
      </c>
    </row>
    <row r="247" spans="1:14" x14ac:dyDescent="0.25">
      <c r="A247" t="s">
        <v>315</v>
      </c>
      <c r="B247">
        <v>45988</v>
      </c>
      <c r="C247" t="s">
        <v>33</v>
      </c>
      <c r="D247" t="s">
        <v>34</v>
      </c>
      <c r="E247" t="s">
        <v>17</v>
      </c>
      <c r="F247" t="s">
        <v>78</v>
      </c>
      <c r="G247" t="s">
        <v>82</v>
      </c>
      <c r="H247" t="s">
        <v>20</v>
      </c>
      <c r="I247">
        <v>8</v>
      </c>
      <c r="J247">
        <v>450</v>
      </c>
      <c r="K247">
        <v>0.1</v>
      </c>
      <c r="L247">
        <v>3240</v>
      </c>
      <c r="M247">
        <v>2041.99</v>
      </c>
      <c r="N247">
        <v>1198.01</v>
      </c>
    </row>
    <row r="248" spans="1:14" x14ac:dyDescent="0.25">
      <c r="A248" t="s">
        <v>316</v>
      </c>
      <c r="B248">
        <v>45696</v>
      </c>
      <c r="C248" t="s">
        <v>33</v>
      </c>
      <c r="D248" t="s">
        <v>34</v>
      </c>
      <c r="E248" t="s">
        <v>23</v>
      </c>
      <c r="F248" t="s">
        <v>35</v>
      </c>
      <c r="G248" t="s">
        <v>36</v>
      </c>
      <c r="H248" t="s">
        <v>20</v>
      </c>
      <c r="I248">
        <v>3</v>
      </c>
      <c r="J248">
        <v>26000</v>
      </c>
      <c r="K248">
        <v>0.15</v>
      </c>
      <c r="L248">
        <v>66300</v>
      </c>
      <c r="M248">
        <v>54654.57</v>
      </c>
      <c r="N248">
        <v>11645.43</v>
      </c>
    </row>
    <row r="249" spans="1:14" x14ac:dyDescent="0.25">
      <c r="A249" t="s">
        <v>317</v>
      </c>
      <c r="B249">
        <v>45811</v>
      </c>
      <c r="C249" t="s">
        <v>43</v>
      </c>
      <c r="D249" t="s">
        <v>75</v>
      </c>
      <c r="E249" t="s">
        <v>17</v>
      </c>
      <c r="F249" t="s">
        <v>18</v>
      </c>
      <c r="G249" t="s">
        <v>99</v>
      </c>
      <c r="H249" t="s">
        <v>45</v>
      </c>
      <c r="I249">
        <v>3</v>
      </c>
      <c r="J249">
        <v>14500</v>
      </c>
      <c r="K249">
        <v>0</v>
      </c>
      <c r="L249">
        <v>43500</v>
      </c>
      <c r="M249">
        <v>31762.59</v>
      </c>
      <c r="N249">
        <v>11737.41</v>
      </c>
    </row>
    <row r="250" spans="1:14" x14ac:dyDescent="0.25">
      <c r="A250" t="s">
        <v>318</v>
      </c>
      <c r="B250">
        <v>45835</v>
      </c>
      <c r="C250" t="s">
        <v>15</v>
      </c>
      <c r="D250" t="s">
        <v>16</v>
      </c>
      <c r="E250" t="s">
        <v>29</v>
      </c>
      <c r="F250" t="s">
        <v>47</v>
      </c>
      <c r="G250" t="s">
        <v>68</v>
      </c>
      <c r="H250" t="s">
        <v>37</v>
      </c>
      <c r="I250">
        <v>7</v>
      </c>
      <c r="J250">
        <v>6500</v>
      </c>
      <c r="K250">
        <v>0.1</v>
      </c>
      <c r="L250">
        <v>40950</v>
      </c>
      <c r="M250">
        <v>25655.9</v>
      </c>
      <c r="N250">
        <v>15294.1</v>
      </c>
    </row>
    <row r="251" spans="1:14" x14ac:dyDescent="0.25">
      <c r="A251" t="s">
        <v>319</v>
      </c>
      <c r="B251">
        <v>45797</v>
      </c>
      <c r="C251" t="s">
        <v>27</v>
      </c>
      <c r="D251" t="s">
        <v>57</v>
      </c>
      <c r="E251" t="s">
        <v>23</v>
      </c>
      <c r="F251" t="s">
        <v>35</v>
      </c>
      <c r="G251" t="s">
        <v>136</v>
      </c>
      <c r="H251" t="s">
        <v>45</v>
      </c>
      <c r="I251">
        <v>7</v>
      </c>
      <c r="J251">
        <v>22000</v>
      </c>
      <c r="K251">
        <v>0.05</v>
      </c>
      <c r="L251">
        <v>146300</v>
      </c>
      <c r="M251">
        <v>112582.66</v>
      </c>
      <c r="N251">
        <v>33717.339999999997</v>
      </c>
    </row>
    <row r="252" spans="1:14" x14ac:dyDescent="0.25">
      <c r="A252" t="s">
        <v>320</v>
      </c>
      <c r="B252">
        <v>45996</v>
      </c>
      <c r="C252" t="s">
        <v>27</v>
      </c>
      <c r="D252" t="s">
        <v>61</v>
      </c>
      <c r="E252" t="s">
        <v>17</v>
      </c>
      <c r="F252" t="s">
        <v>18</v>
      </c>
      <c r="G252" t="s">
        <v>19</v>
      </c>
      <c r="H252" t="s">
        <v>41</v>
      </c>
      <c r="I252">
        <v>2</v>
      </c>
      <c r="J252">
        <v>8500</v>
      </c>
      <c r="K252">
        <v>0</v>
      </c>
      <c r="L252">
        <v>17000</v>
      </c>
      <c r="M252">
        <v>11542.22</v>
      </c>
      <c r="N252">
        <v>5457.78</v>
      </c>
    </row>
    <row r="253" spans="1:14" x14ac:dyDescent="0.25">
      <c r="A253" t="s">
        <v>321</v>
      </c>
      <c r="B253">
        <v>45852</v>
      </c>
      <c r="C253" t="s">
        <v>43</v>
      </c>
      <c r="D253" t="s">
        <v>50</v>
      </c>
      <c r="E253" t="s">
        <v>29</v>
      </c>
      <c r="F253" t="s">
        <v>30</v>
      </c>
      <c r="G253" t="s">
        <v>31</v>
      </c>
      <c r="H253" t="s">
        <v>55</v>
      </c>
      <c r="I253">
        <v>1</v>
      </c>
      <c r="J253">
        <v>7000</v>
      </c>
      <c r="K253">
        <v>0.1</v>
      </c>
      <c r="L253">
        <v>6300</v>
      </c>
      <c r="M253">
        <v>4522.3999999999996</v>
      </c>
      <c r="N253">
        <v>1777.6</v>
      </c>
    </row>
    <row r="254" spans="1:14" x14ac:dyDescent="0.25">
      <c r="A254" t="s">
        <v>322</v>
      </c>
      <c r="B254">
        <v>45796</v>
      </c>
      <c r="C254" t="s">
        <v>15</v>
      </c>
      <c r="D254" t="s">
        <v>128</v>
      </c>
      <c r="E254" t="s">
        <v>23</v>
      </c>
      <c r="F254" t="s">
        <v>24</v>
      </c>
      <c r="G254" t="s">
        <v>129</v>
      </c>
      <c r="H254" t="s">
        <v>45</v>
      </c>
      <c r="I254">
        <v>7</v>
      </c>
      <c r="J254">
        <v>58000</v>
      </c>
      <c r="K254">
        <v>0</v>
      </c>
      <c r="L254">
        <v>406000</v>
      </c>
      <c r="M254">
        <v>254065.71</v>
      </c>
      <c r="N254">
        <v>151934.29</v>
      </c>
    </row>
    <row r="255" spans="1:14" x14ac:dyDescent="0.25">
      <c r="A255" t="s">
        <v>323</v>
      </c>
      <c r="B255">
        <v>45839</v>
      </c>
      <c r="C255" t="s">
        <v>15</v>
      </c>
      <c r="D255" t="s">
        <v>67</v>
      </c>
      <c r="E255" t="s">
        <v>29</v>
      </c>
      <c r="F255" t="s">
        <v>47</v>
      </c>
      <c r="G255" t="s">
        <v>84</v>
      </c>
      <c r="H255" t="s">
        <v>45</v>
      </c>
      <c r="I255">
        <v>7</v>
      </c>
      <c r="J255">
        <v>10500</v>
      </c>
      <c r="K255">
        <v>0</v>
      </c>
      <c r="L255">
        <v>73500</v>
      </c>
      <c r="M255">
        <v>57290.720000000001</v>
      </c>
      <c r="N255">
        <v>16209.28</v>
      </c>
    </row>
    <row r="256" spans="1:14" x14ac:dyDescent="0.25">
      <c r="A256" t="s">
        <v>324</v>
      </c>
      <c r="B256">
        <v>45944</v>
      </c>
      <c r="C256" t="s">
        <v>43</v>
      </c>
      <c r="D256" t="s">
        <v>75</v>
      </c>
      <c r="E256" t="s">
        <v>17</v>
      </c>
      <c r="F256" t="s">
        <v>18</v>
      </c>
      <c r="G256" t="s">
        <v>19</v>
      </c>
      <c r="H256" t="s">
        <v>20</v>
      </c>
      <c r="I256">
        <v>5</v>
      </c>
      <c r="J256">
        <v>8500</v>
      </c>
      <c r="K256">
        <v>0.1</v>
      </c>
      <c r="L256">
        <v>38250</v>
      </c>
      <c r="M256">
        <v>25973.64</v>
      </c>
      <c r="N256">
        <v>12276.36</v>
      </c>
    </row>
    <row r="257" spans="1:14" x14ac:dyDescent="0.25">
      <c r="A257" t="s">
        <v>325</v>
      </c>
      <c r="B257">
        <v>45732</v>
      </c>
      <c r="C257" t="s">
        <v>15</v>
      </c>
      <c r="D257" t="s">
        <v>128</v>
      </c>
      <c r="E257" t="s">
        <v>29</v>
      </c>
      <c r="F257" t="s">
        <v>30</v>
      </c>
      <c r="G257" t="s">
        <v>54</v>
      </c>
      <c r="H257" t="s">
        <v>37</v>
      </c>
      <c r="I257">
        <v>8</v>
      </c>
      <c r="J257">
        <v>12000</v>
      </c>
      <c r="K257">
        <v>0</v>
      </c>
      <c r="L257">
        <v>96000</v>
      </c>
      <c r="M257">
        <v>67146.960000000006</v>
      </c>
      <c r="N257">
        <v>28853.040000000001</v>
      </c>
    </row>
    <row r="258" spans="1:14" x14ac:dyDescent="0.25">
      <c r="A258" t="s">
        <v>326</v>
      </c>
      <c r="B258">
        <v>45784</v>
      </c>
      <c r="C258" t="s">
        <v>27</v>
      </c>
      <c r="D258" t="s">
        <v>28</v>
      </c>
      <c r="E258" t="s">
        <v>29</v>
      </c>
      <c r="F258" t="s">
        <v>47</v>
      </c>
      <c r="G258" t="s">
        <v>68</v>
      </c>
      <c r="H258" t="s">
        <v>37</v>
      </c>
      <c r="I258">
        <v>1</v>
      </c>
      <c r="J258">
        <v>6500</v>
      </c>
      <c r="K258">
        <v>0.15</v>
      </c>
      <c r="L258">
        <v>5525</v>
      </c>
      <c r="M258">
        <v>3829.31</v>
      </c>
      <c r="N258">
        <v>1695.69</v>
      </c>
    </row>
    <row r="259" spans="1:14" x14ac:dyDescent="0.25">
      <c r="A259" t="s">
        <v>327</v>
      </c>
      <c r="B259">
        <v>45975</v>
      </c>
      <c r="C259" t="s">
        <v>27</v>
      </c>
      <c r="D259" t="s">
        <v>118</v>
      </c>
      <c r="E259" t="s">
        <v>29</v>
      </c>
      <c r="F259" t="s">
        <v>30</v>
      </c>
      <c r="G259" t="s">
        <v>54</v>
      </c>
      <c r="H259" t="s">
        <v>41</v>
      </c>
      <c r="I259">
        <v>3</v>
      </c>
      <c r="J259">
        <v>12000</v>
      </c>
      <c r="K259">
        <v>0.1</v>
      </c>
      <c r="L259">
        <v>32400</v>
      </c>
      <c r="M259">
        <v>22373.7</v>
      </c>
      <c r="N259">
        <v>10026.299999999999</v>
      </c>
    </row>
    <row r="260" spans="1:14" x14ac:dyDescent="0.25">
      <c r="A260" t="s">
        <v>328</v>
      </c>
      <c r="B260">
        <v>46013</v>
      </c>
      <c r="C260" t="s">
        <v>43</v>
      </c>
      <c r="D260" t="s">
        <v>50</v>
      </c>
      <c r="E260" t="s">
        <v>29</v>
      </c>
      <c r="F260" t="s">
        <v>47</v>
      </c>
      <c r="G260" t="s">
        <v>84</v>
      </c>
      <c r="H260" t="s">
        <v>37</v>
      </c>
      <c r="I260">
        <v>5</v>
      </c>
      <c r="J260">
        <v>10500</v>
      </c>
      <c r="K260">
        <v>0.15</v>
      </c>
      <c r="L260">
        <v>44625</v>
      </c>
      <c r="M260">
        <v>37168.51</v>
      </c>
      <c r="N260">
        <v>7456.49</v>
      </c>
    </row>
    <row r="261" spans="1:14" x14ac:dyDescent="0.25">
      <c r="A261" t="s">
        <v>329</v>
      </c>
      <c r="B261">
        <v>45782</v>
      </c>
      <c r="C261" t="s">
        <v>33</v>
      </c>
      <c r="D261" t="s">
        <v>73</v>
      </c>
      <c r="E261" t="s">
        <v>29</v>
      </c>
      <c r="F261" t="s">
        <v>30</v>
      </c>
      <c r="G261" t="s">
        <v>54</v>
      </c>
      <c r="H261" t="s">
        <v>55</v>
      </c>
      <c r="I261">
        <v>4</v>
      </c>
      <c r="J261">
        <v>12000</v>
      </c>
      <c r="K261">
        <v>0.05</v>
      </c>
      <c r="L261">
        <v>45600</v>
      </c>
      <c r="M261">
        <v>35110.94</v>
      </c>
      <c r="N261">
        <v>10489.06</v>
      </c>
    </row>
    <row r="262" spans="1:14" x14ac:dyDescent="0.25">
      <c r="A262" t="s">
        <v>330</v>
      </c>
      <c r="B262">
        <v>45939</v>
      </c>
      <c r="C262" t="s">
        <v>15</v>
      </c>
      <c r="D262" t="s">
        <v>22</v>
      </c>
      <c r="E262" t="s">
        <v>17</v>
      </c>
      <c r="F262" t="s">
        <v>78</v>
      </c>
      <c r="G262" t="s">
        <v>79</v>
      </c>
      <c r="H262" t="s">
        <v>37</v>
      </c>
      <c r="I262">
        <v>2</v>
      </c>
      <c r="J262">
        <v>250</v>
      </c>
      <c r="K262">
        <v>0.15</v>
      </c>
      <c r="L262">
        <v>425</v>
      </c>
      <c r="M262">
        <v>326.42</v>
      </c>
      <c r="N262">
        <v>98.58</v>
      </c>
    </row>
    <row r="263" spans="1:14" x14ac:dyDescent="0.25">
      <c r="A263" t="s">
        <v>331</v>
      </c>
      <c r="B263">
        <v>45729</v>
      </c>
      <c r="C263" t="s">
        <v>33</v>
      </c>
      <c r="D263" t="s">
        <v>59</v>
      </c>
      <c r="E263" t="s">
        <v>29</v>
      </c>
      <c r="F263" t="s">
        <v>47</v>
      </c>
      <c r="G263" t="s">
        <v>48</v>
      </c>
      <c r="H263" t="s">
        <v>45</v>
      </c>
      <c r="I263">
        <v>7</v>
      </c>
      <c r="J263">
        <v>4200</v>
      </c>
      <c r="K263">
        <v>0</v>
      </c>
      <c r="L263">
        <v>29400</v>
      </c>
      <c r="M263">
        <v>21132.560000000001</v>
      </c>
      <c r="N263">
        <v>8267.44</v>
      </c>
    </row>
    <row r="264" spans="1:14" x14ac:dyDescent="0.25">
      <c r="A264" t="s">
        <v>332</v>
      </c>
      <c r="B264">
        <v>45964</v>
      </c>
      <c r="C264" t="s">
        <v>27</v>
      </c>
      <c r="D264" t="s">
        <v>57</v>
      </c>
      <c r="E264" t="s">
        <v>17</v>
      </c>
      <c r="F264" t="s">
        <v>18</v>
      </c>
      <c r="G264" t="s">
        <v>19</v>
      </c>
      <c r="H264" t="s">
        <v>37</v>
      </c>
      <c r="I264">
        <v>2</v>
      </c>
      <c r="J264">
        <v>8500</v>
      </c>
      <c r="K264">
        <v>0</v>
      </c>
      <c r="L264">
        <v>17000</v>
      </c>
      <c r="M264">
        <v>13415.89</v>
      </c>
      <c r="N264">
        <v>3584.11</v>
      </c>
    </row>
    <row r="265" spans="1:14" x14ac:dyDescent="0.25">
      <c r="A265" t="s">
        <v>333</v>
      </c>
      <c r="B265">
        <v>45994</v>
      </c>
      <c r="C265" t="s">
        <v>33</v>
      </c>
      <c r="D265" t="s">
        <v>59</v>
      </c>
      <c r="E265" t="s">
        <v>17</v>
      </c>
      <c r="F265" t="s">
        <v>78</v>
      </c>
      <c r="G265" t="s">
        <v>91</v>
      </c>
      <c r="H265" t="s">
        <v>41</v>
      </c>
      <c r="I265">
        <v>7</v>
      </c>
      <c r="J265">
        <v>180</v>
      </c>
      <c r="K265">
        <v>0.1</v>
      </c>
      <c r="L265">
        <v>1134</v>
      </c>
      <c r="M265">
        <v>944.01</v>
      </c>
      <c r="N265">
        <v>189.99</v>
      </c>
    </row>
    <row r="266" spans="1:14" x14ac:dyDescent="0.25">
      <c r="A266" t="s">
        <v>334</v>
      </c>
      <c r="B266">
        <v>45878</v>
      </c>
      <c r="C266" t="s">
        <v>15</v>
      </c>
      <c r="D266" t="s">
        <v>16</v>
      </c>
      <c r="E266" t="s">
        <v>23</v>
      </c>
      <c r="F266" t="s">
        <v>35</v>
      </c>
      <c r="G266" t="s">
        <v>36</v>
      </c>
      <c r="H266" t="s">
        <v>70</v>
      </c>
      <c r="I266">
        <v>4</v>
      </c>
      <c r="J266">
        <v>26000</v>
      </c>
      <c r="K266">
        <v>0.15</v>
      </c>
      <c r="L266">
        <v>88400</v>
      </c>
      <c r="M266">
        <v>62083.88</v>
      </c>
      <c r="N266">
        <v>26316.12</v>
      </c>
    </row>
    <row r="267" spans="1:14" x14ac:dyDescent="0.25">
      <c r="A267" t="s">
        <v>335</v>
      </c>
      <c r="B267">
        <v>45895</v>
      </c>
      <c r="C267" t="s">
        <v>43</v>
      </c>
      <c r="D267" t="s">
        <v>44</v>
      </c>
      <c r="E267" t="s">
        <v>23</v>
      </c>
      <c r="F267" t="s">
        <v>35</v>
      </c>
      <c r="G267" t="s">
        <v>36</v>
      </c>
      <c r="H267" t="s">
        <v>37</v>
      </c>
      <c r="I267">
        <v>7</v>
      </c>
      <c r="J267">
        <v>26000</v>
      </c>
      <c r="K267">
        <v>0</v>
      </c>
      <c r="L267">
        <v>182000</v>
      </c>
      <c r="M267">
        <v>117487.42</v>
      </c>
      <c r="N267">
        <v>64512.58</v>
      </c>
    </row>
    <row r="268" spans="1:14" x14ac:dyDescent="0.25">
      <c r="A268" t="s">
        <v>336</v>
      </c>
      <c r="B268">
        <v>45730</v>
      </c>
      <c r="C268" t="s">
        <v>33</v>
      </c>
      <c r="D268" t="s">
        <v>63</v>
      </c>
      <c r="E268" t="s">
        <v>29</v>
      </c>
      <c r="F268" t="s">
        <v>30</v>
      </c>
      <c r="G268" t="s">
        <v>31</v>
      </c>
      <c r="H268" t="s">
        <v>70</v>
      </c>
      <c r="I268">
        <v>8</v>
      </c>
      <c r="J268">
        <v>7000</v>
      </c>
      <c r="K268">
        <v>0.1</v>
      </c>
      <c r="L268">
        <v>50400</v>
      </c>
      <c r="M268">
        <v>36527.69</v>
      </c>
      <c r="N268">
        <v>13872.31</v>
      </c>
    </row>
    <row r="269" spans="1:14" x14ac:dyDescent="0.25">
      <c r="A269" t="s">
        <v>337</v>
      </c>
      <c r="B269">
        <v>45882</v>
      </c>
      <c r="C269" t="s">
        <v>27</v>
      </c>
      <c r="D269" t="s">
        <v>118</v>
      </c>
      <c r="E269" t="s">
        <v>23</v>
      </c>
      <c r="F269" t="s">
        <v>35</v>
      </c>
      <c r="G269" t="s">
        <v>36</v>
      </c>
      <c r="H269" t="s">
        <v>41</v>
      </c>
      <c r="I269">
        <v>2</v>
      </c>
      <c r="J269">
        <v>26000</v>
      </c>
      <c r="K269">
        <v>0</v>
      </c>
      <c r="L269">
        <v>52000</v>
      </c>
      <c r="M269">
        <v>41954.62</v>
      </c>
      <c r="N269">
        <v>10045.379999999999</v>
      </c>
    </row>
    <row r="270" spans="1:14" x14ac:dyDescent="0.25">
      <c r="A270" t="s">
        <v>338</v>
      </c>
      <c r="B270">
        <v>45989</v>
      </c>
      <c r="C270" t="s">
        <v>15</v>
      </c>
      <c r="D270" t="s">
        <v>128</v>
      </c>
      <c r="E270" t="s">
        <v>17</v>
      </c>
      <c r="F270" t="s">
        <v>78</v>
      </c>
      <c r="G270" t="s">
        <v>91</v>
      </c>
      <c r="H270" t="s">
        <v>20</v>
      </c>
      <c r="I270">
        <v>3</v>
      </c>
      <c r="J270">
        <v>180</v>
      </c>
      <c r="K270">
        <v>0.1</v>
      </c>
      <c r="L270">
        <v>486</v>
      </c>
      <c r="M270">
        <v>361.18</v>
      </c>
      <c r="N270">
        <v>124.82</v>
      </c>
    </row>
    <row r="271" spans="1:14" x14ac:dyDescent="0.25">
      <c r="A271" t="s">
        <v>339</v>
      </c>
      <c r="B271">
        <v>45894</v>
      </c>
      <c r="C271" t="s">
        <v>43</v>
      </c>
      <c r="D271" t="s">
        <v>50</v>
      </c>
      <c r="E271" t="s">
        <v>17</v>
      </c>
      <c r="F271" t="s">
        <v>78</v>
      </c>
      <c r="G271" t="s">
        <v>82</v>
      </c>
      <c r="H271" t="s">
        <v>41</v>
      </c>
      <c r="I271">
        <v>7</v>
      </c>
      <c r="J271">
        <v>450</v>
      </c>
      <c r="K271">
        <v>0.15</v>
      </c>
      <c r="L271">
        <v>2677.5</v>
      </c>
      <c r="M271">
        <v>1677.25</v>
      </c>
      <c r="N271">
        <v>1000.25</v>
      </c>
    </row>
    <row r="272" spans="1:14" x14ac:dyDescent="0.25">
      <c r="A272" t="s">
        <v>340</v>
      </c>
      <c r="B272">
        <v>45972</v>
      </c>
      <c r="C272" t="s">
        <v>43</v>
      </c>
      <c r="D272" t="s">
        <v>50</v>
      </c>
      <c r="E272" t="s">
        <v>17</v>
      </c>
      <c r="F272" t="s">
        <v>18</v>
      </c>
      <c r="G272" t="s">
        <v>99</v>
      </c>
      <c r="H272" t="s">
        <v>55</v>
      </c>
      <c r="I272">
        <v>4</v>
      </c>
      <c r="J272">
        <v>14500</v>
      </c>
      <c r="K272">
        <v>0.05</v>
      </c>
      <c r="L272">
        <v>55100</v>
      </c>
      <c r="M272">
        <v>37536.1</v>
      </c>
      <c r="N272">
        <v>17563.900000000001</v>
      </c>
    </row>
    <row r="273" spans="1:14" x14ac:dyDescent="0.25">
      <c r="A273" t="s">
        <v>341</v>
      </c>
      <c r="B273">
        <v>46018</v>
      </c>
      <c r="C273" t="s">
        <v>15</v>
      </c>
      <c r="D273" t="s">
        <v>16</v>
      </c>
      <c r="E273" t="s">
        <v>17</v>
      </c>
      <c r="F273" t="s">
        <v>78</v>
      </c>
      <c r="G273" t="s">
        <v>79</v>
      </c>
      <c r="H273" t="s">
        <v>37</v>
      </c>
      <c r="I273">
        <v>4</v>
      </c>
      <c r="J273">
        <v>250</v>
      </c>
      <c r="K273">
        <v>0.15</v>
      </c>
      <c r="L273">
        <v>850</v>
      </c>
      <c r="M273">
        <v>548.30999999999995</v>
      </c>
      <c r="N273">
        <v>301.69</v>
      </c>
    </row>
    <row r="274" spans="1:14" x14ac:dyDescent="0.25">
      <c r="A274" t="s">
        <v>342</v>
      </c>
      <c r="B274">
        <v>46001</v>
      </c>
      <c r="C274" t="s">
        <v>27</v>
      </c>
      <c r="D274" t="s">
        <v>118</v>
      </c>
      <c r="E274" t="s">
        <v>17</v>
      </c>
      <c r="F274" t="s">
        <v>18</v>
      </c>
      <c r="G274" t="s">
        <v>99</v>
      </c>
      <c r="H274" t="s">
        <v>70</v>
      </c>
      <c r="I274">
        <v>2</v>
      </c>
      <c r="J274">
        <v>14500</v>
      </c>
      <c r="K274">
        <v>0.1</v>
      </c>
      <c r="L274">
        <v>26100</v>
      </c>
      <c r="M274">
        <v>18203.099999999999</v>
      </c>
      <c r="N274">
        <v>7896.9</v>
      </c>
    </row>
    <row r="275" spans="1:14" x14ac:dyDescent="0.25">
      <c r="A275" t="s">
        <v>343</v>
      </c>
      <c r="B275">
        <v>45892</v>
      </c>
      <c r="C275" t="s">
        <v>43</v>
      </c>
      <c r="D275" t="s">
        <v>44</v>
      </c>
      <c r="E275" t="s">
        <v>17</v>
      </c>
      <c r="F275" t="s">
        <v>78</v>
      </c>
      <c r="G275" t="s">
        <v>91</v>
      </c>
      <c r="H275" t="s">
        <v>20</v>
      </c>
      <c r="I275">
        <v>6</v>
      </c>
      <c r="J275">
        <v>180</v>
      </c>
      <c r="K275">
        <v>0</v>
      </c>
      <c r="L275">
        <v>1080</v>
      </c>
      <c r="M275">
        <v>726.28</v>
      </c>
      <c r="N275">
        <v>353.72</v>
      </c>
    </row>
    <row r="276" spans="1:14" x14ac:dyDescent="0.25">
      <c r="A276" t="s">
        <v>344</v>
      </c>
      <c r="B276">
        <v>45717</v>
      </c>
      <c r="C276" t="s">
        <v>43</v>
      </c>
      <c r="D276" t="s">
        <v>44</v>
      </c>
      <c r="E276" t="s">
        <v>17</v>
      </c>
      <c r="F276" t="s">
        <v>78</v>
      </c>
      <c r="G276" t="s">
        <v>91</v>
      </c>
      <c r="H276" t="s">
        <v>45</v>
      </c>
      <c r="I276">
        <v>7</v>
      </c>
      <c r="J276">
        <v>180</v>
      </c>
      <c r="K276">
        <v>0.05</v>
      </c>
      <c r="L276">
        <v>1197</v>
      </c>
      <c r="M276">
        <v>893.51</v>
      </c>
      <c r="N276">
        <v>303.49</v>
      </c>
    </row>
    <row r="277" spans="1:14" x14ac:dyDescent="0.25">
      <c r="A277" t="s">
        <v>345</v>
      </c>
      <c r="B277">
        <v>45874</v>
      </c>
      <c r="C277" t="s">
        <v>43</v>
      </c>
      <c r="D277" t="s">
        <v>50</v>
      </c>
      <c r="E277" t="s">
        <v>17</v>
      </c>
      <c r="F277" t="s">
        <v>78</v>
      </c>
      <c r="G277" t="s">
        <v>91</v>
      </c>
      <c r="H277" t="s">
        <v>20</v>
      </c>
      <c r="I277">
        <v>8</v>
      </c>
      <c r="J277">
        <v>180</v>
      </c>
      <c r="K277">
        <v>0.1</v>
      </c>
      <c r="L277">
        <v>1296</v>
      </c>
      <c r="M277">
        <v>843.52</v>
      </c>
      <c r="N277">
        <v>452.48</v>
      </c>
    </row>
    <row r="278" spans="1:14" x14ac:dyDescent="0.25">
      <c r="A278" t="s">
        <v>346</v>
      </c>
      <c r="B278">
        <v>45819</v>
      </c>
      <c r="C278" t="s">
        <v>27</v>
      </c>
      <c r="D278" t="s">
        <v>61</v>
      </c>
      <c r="E278" t="s">
        <v>29</v>
      </c>
      <c r="F278" t="s">
        <v>47</v>
      </c>
      <c r="G278" t="s">
        <v>84</v>
      </c>
      <c r="H278" t="s">
        <v>20</v>
      </c>
      <c r="I278">
        <v>4</v>
      </c>
      <c r="J278">
        <v>10500</v>
      </c>
      <c r="K278">
        <v>0.15</v>
      </c>
      <c r="L278">
        <v>35700</v>
      </c>
      <c r="M278">
        <v>29703.91</v>
      </c>
      <c r="N278">
        <v>5996.09</v>
      </c>
    </row>
    <row r="279" spans="1:14" x14ac:dyDescent="0.25">
      <c r="A279" t="s">
        <v>347</v>
      </c>
      <c r="B279">
        <v>45916</v>
      </c>
      <c r="C279" t="s">
        <v>27</v>
      </c>
      <c r="D279" t="s">
        <v>57</v>
      </c>
      <c r="E279" t="s">
        <v>17</v>
      </c>
      <c r="F279" t="s">
        <v>18</v>
      </c>
      <c r="G279" t="s">
        <v>99</v>
      </c>
      <c r="H279" t="s">
        <v>41</v>
      </c>
      <c r="I279">
        <v>8</v>
      </c>
      <c r="J279">
        <v>14500</v>
      </c>
      <c r="K279">
        <v>0.15</v>
      </c>
      <c r="L279">
        <v>98600</v>
      </c>
      <c r="M279">
        <v>64760.06</v>
      </c>
      <c r="N279">
        <v>33839.94</v>
      </c>
    </row>
    <row r="280" spans="1:14" x14ac:dyDescent="0.25">
      <c r="A280" t="s">
        <v>348</v>
      </c>
      <c r="B280">
        <v>45947</v>
      </c>
      <c r="C280" t="s">
        <v>15</v>
      </c>
      <c r="D280" t="s">
        <v>128</v>
      </c>
      <c r="E280" t="s">
        <v>29</v>
      </c>
      <c r="F280" t="s">
        <v>47</v>
      </c>
      <c r="G280" t="s">
        <v>84</v>
      </c>
      <c r="H280" t="s">
        <v>20</v>
      </c>
      <c r="I280">
        <v>5</v>
      </c>
      <c r="J280">
        <v>10500</v>
      </c>
      <c r="K280">
        <v>0.05</v>
      </c>
      <c r="L280">
        <v>49875</v>
      </c>
      <c r="M280">
        <v>39489.17</v>
      </c>
      <c r="N280">
        <v>10385.83</v>
      </c>
    </row>
    <row r="281" spans="1:14" x14ac:dyDescent="0.25">
      <c r="A281" t="s">
        <v>349</v>
      </c>
      <c r="B281">
        <v>45947</v>
      </c>
      <c r="C281" t="s">
        <v>27</v>
      </c>
      <c r="D281" t="s">
        <v>61</v>
      </c>
      <c r="E281" t="s">
        <v>17</v>
      </c>
      <c r="F281" t="s">
        <v>78</v>
      </c>
      <c r="G281" t="s">
        <v>79</v>
      </c>
      <c r="H281" t="s">
        <v>70</v>
      </c>
      <c r="I281">
        <v>6</v>
      </c>
      <c r="J281">
        <v>250</v>
      </c>
      <c r="K281">
        <v>0</v>
      </c>
      <c r="L281">
        <v>1500</v>
      </c>
      <c r="M281">
        <v>1180.8</v>
      </c>
      <c r="N281">
        <v>319.2</v>
      </c>
    </row>
    <row r="282" spans="1:14" x14ac:dyDescent="0.25">
      <c r="A282" t="s">
        <v>350</v>
      </c>
      <c r="B282">
        <v>45883</v>
      </c>
      <c r="C282" t="s">
        <v>43</v>
      </c>
      <c r="D282" t="s">
        <v>50</v>
      </c>
      <c r="E282" t="s">
        <v>23</v>
      </c>
      <c r="F282" t="s">
        <v>39</v>
      </c>
      <c r="G282" t="s">
        <v>93</v>
      </c>
      <c r="H282" t="s">
        <v>20</v>
      </c>
      <c r="I282">
        <v>5</v>
      </c>
      <c r="J282">
        <v>2500</v>
      </c>
      <c r="K282">
        <v>0</v>
      </c>
      <c r="L282">
        <v>12500</v>
      </c>
      <c r="M282">
        <v>8986.76</v>
      </c>
      <c r="N282">
        <v>3513.24</v>
      </c>
    </row>
    <row r="283" spans="1:14" x14ac:dyDescent="0.25">
      <c r="A283" t="s">
        <v>351</v>
      </c>
      <c r="B283">
        <v>45836</v>
      </c>
      <c r="C283" t="s">
        <v>15</v>
      </c>
      <c r="D283" t="s">
        <v>22</v>
      </c>
      <c r="E283" t="s">
        <v>23</v>
      </c>
      <c r="F283" t="s">
        <v>24</v>
      </c>
      <c r="G283" t="s">
        <v>25</v>
      </c>
      <c r="H283" t="s">
        <v>41</v>
      </c>
      <c r="I283">
        <v>6</v>
      </c>
      <c r="J283">
        <v>52000</v>
      </c>
      <c r="K283">
        <v>0.15</v>
      </c>
      <c r="L283">
        <v>265200</v>
      </c>
      <c r="M283">
        <v>174108.03</v>
      </c>
      <c r="N283">
        <v>91091.97</v>
      </c>
    </row>
    <row r="284" spans="1:14" x14ac:dyDescent="0.25">
      <c r="A284" t="s">
        <v>352</v>
      </c>
      <c r="B284">
        <v>45729</v>
      </c>
      <c r="C284" t="s">
        <v>43</v>
      </c>
      <c r="D284" t="s">
        <v>75</v>
      </c>
      <c r="E284" t="s">
        <v>23</v>
      </c>
      <c r="F284" t="s">
        <v>39</v>
      </c>
      <c r="G284" t="s">
        <v>40</v>
      </c>
      <c r="H284" t="s">
        <v>70</v>
      </c>
      <c r="I284">
        <v>5</v>
      </c>
      <c r="J284">
        <v>1800</v>
      </c>
      <c r="K284">
        <v>0.05</v>
      </c>
      <c r="L284">
        <v>8550</v>
      </c>
      <c r="M284">
        <v>5909.79</v>
      </c>
      <c r="N284">
        <v>2640.21</v>
      </c>
    </row>
    <row r="285" spans="1:14" x14ac:dyDescent="0.25">
      <c r="A285" t="s">
        <v>353</v>
      </c>
      <c r="B285">
        <v>46018</v>
      </c>
      <c r="C285" t="s">
        <v>33</v>
      </c>
      <c r="D285" t="s">
        <v>63</v>
      </c>
      <c r="E285" t="s">
        <v>17</v>
      </c>
      <c r="F285" t="s">
        <v>18</v>
      </c>
      <c r="G285" t="s">
        <v>19</v>
      </c>
      <c r="H285" t="s">
        <v>20</v>
      </c>
      <c r="I285">
        <v>7</v>
      </c>
      <c r="J285">
        <v>8500</v>
      </c>
      <c r="K285">
        <v>0</v>
      </c>
      <c r="L285">
        <v>59500</v>
      </c>
      <c r="M285">
        <v>49881.64</v>
      </c>
      <c r="N285">
        <v>9618.36</v>
      </c>
    </row>
    <row r="286" spans="1:14" x14ac:dyDescent="0.25">
      <c r="A286" t="s">
        <v>354</v>
      </c>
      <c r="B286">
        <v>45993</v>
      </c>
      <c r="C286" t="s">
        <v>43</v>
      </c>
      <c r="D286" t="s">
        <v>75</v>
      </c>
      <c r="E286" t="s">
        <v>23</v>
      </c>
      <c r="F286" t="s">
        <v>24</v>
      </c>
      <c r="G286" t="s">
        <v>76</v>
      </c>
      <c r="H286" t="s">
        <v>37</v>
      </c>
      <c r="I286">
        <v>4</v>
      </c>
      <c r="J286">
        <v>49000</v>
      </c>
      <c r="K286">
        <v>0.15</v>
      </c>
      <c r="L286">
        <v>166600</v>
      </c>
      <c r="M286">
        <v>121231.64</v>
      </c>
      <c r="N286">
        <v>45368.36</v>
      </c>
    </row>
    <row r="287" spans="1:14" x14ac:dyDescent="0.25">
      <c r="A287" t="s">
        <v>355</v>
      </c>
      <c r="B287">
        <v>45953</v>
      </c>
      <c r="C287" t="s">
        <v>33</v>
      </c>
      <c r="D287" t="s">
        <v>73</v>
      </c>
      <c r="E287" t="s">
        <v>29</v>
      </c>
      <c r="F287" t="s">
        <v>30</v>
      </c>
      <c r="G287" t="s">
        <v>31</v>
      </c>
      <c r="H287" t="s">
        <v>41</v>
      </c>
      <c r="I287">
        <v>2</v>
      </c>
      <c r="J287">
        <v>7000</v>
      </c>
      <c r="K287">
        <v>0.15</v>
      </c>
      <c r="L287">
        <v>11900</v>
      </c>
      <c r="M287">
        <v>8727.8799999999992</v>
      </c>
      <c r="N287">
        <v>3172.12</v>
      </c>
    </row>
    <row r="288" spans="1:14" x14ac:dyDescent="0.25">
      <c r="A288" t="s">
        <v>356</v>
      </c>
      <c r="B288">
        <v>45800</v>
      </c>
      <c r="C288" t="s">
        <v>33</v>
      </c>
      <c r="D288" t="s">
        <v>73</v>
      </c>
      <c r="E288" t="s">
        <v>29</v>
      </c>
      <c r="F288" t="s">
        <v>30</v>
      </c>
      <c r="G288" t="s">
        <v>51</v>
      </c>
      <c r="H288" t="s">
        <v>55</v>
      </c>
      <c r="I288">
        <v>2</v>
      </c>
      <c r="J288">
        <v>25000</v>
      </c>
      <c r="K288">
        <v>0.15</v>
      </c>
      <c r="L288">
        <v>42500</v>
      </c>
      <c r="M288">
        <v>32285.759999999998</v>
      </c>
      <c r="N288">
        <v>10214.24</v>
      </c>
    </row>
    <row r="289" spans="1:14" x14ac:dyDescent="0.25">
      <c r="A289" t="s">
        <v>357</v>
      </c>
      <c r="B289">
        <v>46015</v>
      </c>
      <c r="C289" t="s">
        <v>33</v>
      </c>
      <c r="D289" t="s">
        <v>34</v>
      </c>
      <c r="E289" t="s">
        <v>17</v>
      </c>
      <c r="F289" t="s">
        <v>18</v>
      </c>
      <c r="G289" t="s">
        <v>19</v>
      </c>
      <c r="H289" t="s">
        <v>45</v>
      </c>
      <c r="I289">
        <v>4</v>
      </c>
      <c r="J289">
        <v>8500</v>
      </c>
      <c r="K289">
        <v>0.15</v>
      </c>
      <c r="L289">
        <v>28900</v>
      </c>
      <c r="M289">
        <v>19625.36</v>
      </c>
      <c r="N289">
        <v>9274.64</v>
      </c>
    </row>
    <row r="290" spans="1:14" x14ac:dyDescent="0.25">
      <c r="A290" t="s">
        <v>358</v>
      </c>
      <c r="B290">
        <v>45803</v>
      </c>
      <c r="C290" t="s">
        <v>33</v>
      </c>
      <c r="D290" t="s">
        <v>59</v>
      </c>
      <c r="E290" t="s">
        <v>17</v>
      </c>
      <c r="F290" t="s">
        <v>18</v>
      </c>
      <c r="G290" t="s">
        <v>99</v>
      </c>
      <c r="H290" t="s">
        <v>41</v>
      </c>
      <c r="I290">
        <v>1</v>
      </c>
      <c r="J290">
        <v>14500</v>
      </c>
      <c r="K290">
        <v>0</v>
      </c>
      <c r="L290">
        <v>14500</v>
      </c>
      <c r="M290">
        <v>9307.64</v>
      </c>
      <c r="N290">
        <v>5192.3599999999997</v>
      </c>
    </row>
    <row r="291" spans="1:14" x14ac:dyDescent="0.25">
      <c r="A291" t="s">
        <v>359</v>
      </c>
      <c r="B291">
        <v>45893</v>
      </c>
      <c r="C291" t="s">
        <v>15</v>
      </c>
      <c r="D291" t="s">
        <v>16</v>
      </c>
      <c r="E291" t="s">
        <v>23</v>
      </c>
      <c r="F291" t="s">
        <v>35</v>
      </c>
      <c r="G291" t="s">
        <v>64</v>
      </c>
      <c r="H291" t="s">
        <v>55</v>
      </c>
      <c r="I291">
        <v>7</v>
      </c>
      <c r="J291">
        <v>31000</v>
      </c>
      <c r="K291">
        <v>0.05</v>
      </c>
      <c r="L291">
        <v>206150</v>
      </c>
      <c r="M291">
        <v>172970.71</v>
      </c>
      <c r="N291">
        <v>33179.29</v>
      </c>
    </row>
    <row r="292" spans="1:14" x14ac:dyDescent="0.25">
      <c r="A292" t="s">
        <v>360</v>
      </c>
      <c r="B292">
        <v>45725</v>
      </c>
      <c r="C292" t="s">
        <v>33</v>
      </c>
      <c r="D292" t="s">
        <v>59</v>
      </c>
      <c r="E292" t="s">
        <v>29</v>
      </c>
      <c r="F292" t="s">
        <v>47</v>
      </c>
      <c r="G292" t="s">
        <v>48</v>
      </c>
      <c r="H292" t="s">
        <v>37</v>
      </c>
      <c r="I292">
        <v>5</v>
      </c>
      <c r="J292">
        <v>4200</v>
      </c>
      <c r="K292">
        <v>0</v>
      </c>
      <c r="L292">
        <v>21000</v>
      </c>
      <c r="M292">
        <v>14737.92</v>
      </c>
      <c r="N292">
        <v>6262.08</v>
      </c>
    </row>
    <row r="293" spans="1:14" x14ac:dyDescent="0.25">
      <c r="A293" t="s">
        <v>361</v>
      </c>
      <c r="B293">
        <v>45990</v>
      </c>
      <c r="C293" t="s">
        <v>43</v>
      </c>
      <c r="D293" t="s">
        <v>53</v>
      </c>
      <c r="E293" t="s">
        <v>29</v>
      </c>
      <c r="F293" t="s">
        <v>30</v>
      </c>
      <c r="G293" t="s">
        <v>51</v>
      </c>
      <c r="H293" t="s">
        <v>41</v>
      </c>
      <c r="I293">
        <v>4</v>
      </c>
      <c r="J293">
        <v>25000</v>
      </c>
      <c r="K293">
        <v>0.15</v>
      </c>
      <c r="L293">
        <v>85000</v>
      </c>
      <c r="M293">
        <v>64957.57</v>
      </c>
      <c r="N293">
        <v>20042.43</v>
      </c>
    </row>
    <row r="294" spans="1:14" x14ac:dyDescent="0.25">
      <c r="A294" t="s">
        <v>362</v>
      </c>
      <c r="B294">
        <v>46018</v>
      </c>
      <c r="C294" t="s">
        <v>15</v>
      </c>
      <c r="D294" t="s">
        <v>16</v>
      </c>
      <c r="E294" t="s">
        <v>23</v>
      </c>
      <c r="F294" t="s">
        <v>35</v>
      </c>
      <c r="G294" t="s">
        <v>36</v>
      </c>
      <c r="H294" t="s">
        <v>20</v>
      </c>
      <c r="I294">
        <v>4</v>
      </c>
      <c r="J294">
        <v>26000</v>
      </c>
      <c r="K294">
        <v>0.15</v>
      </c>
      <c r="L294">
        <v>88400</v>
      </c>
      <c r="M294">
        <v>54988.61</v>
      </c>
      <c r="N294">
        <v>33411.39</v>
      </c>
    </row>
    <row r="295" spans="1:14" x14ac:dyDescent="0.25">
      <c r="A295" t="s">
        <v>363</v>
      </c>
      <c r="B295">
        <v>46014</v>
      </c>
      <c r="C295" t="s">
        <v>33</v>
      </c>
      <c r="D295" t="s">
        <v>34</v>
      </c>
      <c r="E295" t="s">
        <v>29</v>
      </c>
      <c r="F295" t="s">
        <v>47</v>
      </c>
      <c r="G295" t="s">
        <v>84</v>
      </c>
      <c r="H295" t="s">
        <v>55</v>
      </c>
      <c r="I295">
        <v>4</v>
      </c>
      <c r="J295">
        <v>10500</v>
      </c>
      <c r="K295">
        <v>0.15</v>
      </c>
      <c r="L295">
        <v>35700</v>
      </c>
      <c r="M295">
        <v>22835.61</v>
      </c>
      <c r="N295">
        <v>12864.39</v>
      </c>
    </row>
    <row r="296" spans="1:14" x14ac:dyDescent="0.25">
      <c r="A296" t="s">
        <v>364</v>
      </c>
      <c r="B296">
        <v>45710</v>
      </c>
      <c r="C296" t="s">
        <v>15</v>
      </c>
      <c r="D296" t="s">
        <v>67</v>
      </c>
      <c r="E296" t="s">
        <v>29</v>
      </c>
      <c r="F296" t="s">
        <v>30</v>
      </c>
      <c r="G296" t="s">
        <v>31</v>
      </c>
      <c r="H296" t="s">
        <v>45</v>
      </c>
      <c r="I296">
        <v>3</v>
      </c>
      <c r="J296">
        <v>7000</v>
      </c>
      <c r="K296">
        <v>0.05</v>
      </c>
      <c r="L296">
        <v>19950</v>
      </c>
      <c r="M296">
        <v>12669.26</v>
      </c>
      <c r="N296">
        <v>7280.74</v>
      </c>
    </row>
    <row r="297" spans="1:14" x14ac:dyDescent="0.25">
      <c r="A297" t="s">
        <v>365</v>
      </c>
      <c r="B297">
        <v>45946</v>
      </c>
      <c r="C297" t="s">
        <v>15</v>
      </c>
      <c r="D297" t="s">
        <v>128</v>
      </c>
      <c r="E297" t="s">
        <v>29</v>
      </c>
      <c r="F297" t="s">
        <v>30</v>
      </c>
      <c r="G297" t="s">
        <v>51</v>
      </c>
      <c r="H297" t="s">
        <v>20</v>
      </c>
      <c r="I297">
        <v>3</v>
      </c>
      <c r="J297">
        <v>25000</v>
      </c>
      <c r="K297">
        <v>0.15</v>
      </c>
      <c r="L297">
        <v>63750</v>
      </c>
      <c r="M297">
        <v>48165.47</v>
      </c>
      <c r="N297">
        <v>15584.53</v>
      </c>
    </row>
    <row r="298" spans="1:14" x14ac:dyDescent="0.25">
      <c r="A298" t="s">
        <v>366</v>
      </c>
      <c r="B298">
        <v>45884</v>
      </c>
      <c r="C298" t="s">
        <v>43</v>
      </c>
      <c r="D298" t="s">
        <v>53</v>
      </c>
      <c r="E298" t="s">
        <v>23</v>
      </c>
      <c r="F298" t="s">
        <v>24</v>
      </c>
      <c r="G298" t="s">
        <v>25</v>
      </c>
      <c r="H298" t="s">
        <v>70</v>
      </c>
      <c r="I298">
        <v>7</v>
      </c>
      <c r="J298">
        <v>52000</v>
      </c>
      <c r="K298">
        <v>0.1</v>
      </c>
      <c r="L298">
        <v>327600</v>
      </c>
      <c r="M298">
        <v>272535.26</v>
      </c>
      <c r="N298">
        <v>55064.74</v>
      </c>
    </row>
    <row r="299" spans="1:14" x14ac:dyDescent="0.25">
      <c r="A299" t="s">
        <v>367</v>
      </c>
      <c r="B299">
        <v>45819</v>
      </c>
      <c r="C299" t="s">
        <v>43</v>
      </c>
      <c r="D299" t="s">
        <v>75</v>
      </c>
      <c r="E299" t="s">
        <v>29</v>
      </c>
      <c r="F299" t="s">
        <v>47</v>
      </c>
      <c r="G299" t="s">
        <v>68</v>
      </c>
      <c r="H299" t="s">
        <v>70</v>
      </c>
      <c r="I299">
        <v>5</v>
      </c>
      <c r="J299">
        <v>6500</v>
      </c>
      <c r="K299">
        <v>0</v>
      </c>
      <c r="L299">
        <v>32500</v>
      </c>
      <c r="M299">
        <v>26212.43</v>
      </c>
      <c r="N299">
        <v>6287.57</v>
      </c>
    </row>
    <row r="300" spans="1:14" x14ac:dyDescent="0.25">
      <c r="A300" t="s">
        <v>368</v>
      </c>
      <c r="B300">
        <v>45995</v>
      </c>
      <c r="C300" t="s">
        <v>33</v>
      </c>
      <c r="D300" t="s">
        <v>59</v>
      </c>
      <c r="E300" t="s">
        <v>17</v>
      </c>
      <c r="F300" t="s">
        <v>78</v>
      </c>
      <c r="G300" t="s">
        <v>91</v>
      </c>
      <c r="H300" t="s">
        <v>45</v>
      </c>
      <c r="I300">
        <v>5</v>
      </c>
      <c r="J300">
        <v>180</v>
      </c>
      <c r="K300">
        <v>0</v>
      </c>
      <c r="L300">
        <v>900</v>
      </c>
      <c r="M300">
        <v>713.19</v>
      </c>
      <c r="N300">
        <v>186.81</v>
      </c>
    </row>
    <row r="301" spans="1:14" x14ac:dyDescent="0.25">
      <c r="A301" t="s">
        <v>369</v>
      </c>
      <c r="B301">
        <v>45780</v>
      </c>
      <c r="C301" t="s">
        <v>27</v>
      </c>
      <c r="D301" t="s">
        <v>57</v>
      </c>
      <c r="E301" t="s">
        <v>23</v>
      </c>
      <c r="F301" t="s">
        <v>24</v>
      </c>
      <c r="G301" t="s">
        <v>129</v>
      </c>
      <c r="H301" t="s">
        <v>41</v>
      </c>
      <c r="I301">
        <v>2</v>
      </c>
      <c r="J301">
        <v>58000</v>
      </c>
      <c r="K301">
        <v>0</v>
      </c>
      <c r="L301">
        <v>116000</v>
      </c>
      <c r="M301">
        <v>97105.24</v>
      </c>
      <c r="N301">
        <v>18894.759999999998</v>
      </c>
    </row>
    <row r="302" spans="1:14" x14ac:dyDescent="0.25">
      <c r="A302" t="s">
        <v>370</v>
      </c>
      <c r="B302">
        <v>45820</v>
      </c>
      <c r="C302" t="s">
        <v>43</v>
      </c>
      <c r="D302" t="s">
        <v>50</v>
      </c>
      <c r="E302" t="s">
        <v>17</v>
      </c>
      <c r="F302" t="s">
        <v>18</v>
      </c>
      <c r="G302" t="s">
        <v>99</v>
      </c>
      <c r="H302" t="s">
        <v>70</v>
      </c>
      <c r="I302">
        <v>3</v>
      </c>
      <c r="J302">
        <v>14500</v>
      </c>
      <c r="K302">
        <v>0.15</v>
      </c>
      <c r="L302">
        <v>36975</v>
      </c>
      <c r="M302">
        <v>30688.5</v>
      </c>
      <c r="N302">
        <v>6286.5</v>
      </c>
    </row>
    <row r="303" spans="1:14" x14ac:dyDescent="0.25">
      <c r="A303" t="s">
        <v>371</v>
      </c>
      <c r="B303">
        <v>45695</v>
      </c>
      <c r="C303" t="s">
        <v>15</v>
      </c>
      <c r="D303" t="s">
        <v>16</v>
      </c>
      <c r="E303" t="s">
        <v>23</v>
      </c>
      <c r="F303" t="s">
        <v>35</v>
      </c>
      <c r="G303" t="s">
        <v>36</v>
      </c>
      <c r="H303" t="s">
        <v>55</v>
      </c>
      <c r="I303">
        <v>1</v>
      </c>
      <c r="J303">
        <v>26000</v>
      </c>
      <c r="K303">
        <v>0.15</v>
      </c>
      <c r="L303">
        <v>22100</v>
      </c>
      <c r="M303">
        <v>16165.14</v>
      </c>
      <c r="N303">
        <v>5934.86</v>
      </c>
    </row>
    <row r="304" spans="1:14" x14ac:dyDescent="0.25">
      <c r="A304" t="s">
        <v>372</v>
      </c>
      <c r="B304">
        <v>45979</v>
      </c>
      <c r="C304" t="s">
        <v>27</v>
      </c>
      <c r="D304" t="s">
        <v>57</v>
      </c>
      <c r="E304" t="s">
        <v>17</v>
      </c>
      <c r="F304" t="s">
        <v>18</v>
      </c>
      <c r="G304" t="s">
        <v>19</v>
      </c>
      <c r="H304" t="s">
        <v>41</v>
      </c>
      <c r="I304">
        <v>3</v>
      </c>
      <c r="J304">
        <v>8500</v>
      </c>
      <c r="K304">
        <v>0.1</v>
      </c>
      <c r="L304">
        <v>22950</v>
      </c>
      <c r="M304">
        <v>14651.08</v>
      </c>
      <c r="N304">
        <v>8298.92</v>
      </c>
    </row>
    <row r="305" spans="1:14" x14ac:dyDescent="0.25">
      <c r="A305" t="s">
        <v>373</v>
      </c>
      <c r="B305">
        <v>45698</v>
      </c>
      <c r="C305" t="s">
        <v>43</v>
      </c>
      <c r="D305" t="s">
        <v>75</v>
      </c>
      <c r="E305" t="s">
        <v>17</v>
      </c>
      <c r="F305" t="s">
        <v>18</v>
      </c>
      <c r="G305" t="s">
        <v>99</v>
      </c>
      <c r="H305" t="s">
        <v>70</v>
      </c>
      <c r="I305">
        <v>2</v>
      </c>
      <c r="J305">
        <v>14500</v>
      </c>
      <c r="K305">
        <v>0.1</v>
      </c>
      <c r="L305">
        <v>26100</v>
      </c>
      <c r="M305">
        <v>20193.8</v>
      </c>
      <c r="N305">
        <v>5906.2</v>
      </c>
    </row>
    <row r="306" spans="1:14" x14ac:dyDescent="0.25">
      <c r="A306" t="s">
        <v>374</v>
      </c>
      <c r="B306">
        <v>45780</v>
      </c>
      <c r="C306" t="s">
        <v>15</v>
      </c>
      <c r="D306" t="s">
        <v>128</v>
      </c>
      <c r="E306" t="s">
        <v>23</v>
      </c>
      <c r="F306" t="s">
        <v>35</v>
      </c>
      <c r="G306" t="s">
        <v>36</v>
      </c>
      <c r="H306" t="s">
        <v>45</v>
      </c>
      <c r="I306">
        <v>1</v>
      </c>
      <c r="J306">
        <v>26000</v>
      </c>
      <c r="K306">
        <v>0.1</v>
      </c>
      <c r="L306">
        <v>23400</v>
      </c>
      <c r="M306">
        <v>17936.98</v>
      </c>
      <c r="N306">
        <v>5463.02</v>
      </c>
    </row>
    <row r="307" spans="1:14" x14ac:dyDescent="0.25">
      <c r="A307" t="s">
        <v>375</v>
      </c>
      <c r="B307">
        <v>45994</v>
      </c>
      <c r="C307" t="s">
        <v>43</v>
      </c>
      <c r="D307" t="s">
        <v>53</v>
      </c>
      <c r="E307" t="s">
        <v>23</v>
      </c>
      <c r="F307" t="s">
        <v>39</v>
      </c>
      <c r="G307" t="s">
        <v>89</v>
      </c>
      <c r="H307" t="s">
        <v>41</v>
      </c>
      <c r="I307">
        <v>1</v>
      </c>
      <c r="J307">
        <v>1200</v>
      </c>
      <c r="K307">
        <v>0.05</v>
      </c>
      <c r="L307">
        <v>1140</v>
      </c>
      <c r="M307">
        <v>831.3</v>
      </c>
      <c r="N307">
        <v>308.7</v>
      </c>
    </row>
    <row r="308" spans="1:14" x14ac:dyDescent="0.25">
      <c r="A308" t="s">
        <v>376</v>
      </c>
      <c r="B308">
        <v>45835</v>
      </c>
      <c r="C308" t="s">
        <v>33</v>
      </c>
      <c r="D308" t="s">
        <v>59</v>
      </c>
      <c r="E308" t="s">
        <v>29</v>
      </c>
      <c r="F308" t="s">
        <v>47</v>
      </c>
      <c r="G308" t="s">
        <v>48</v>
      </c>
      <c r="H308" t="s">
        <v>37</v>
      </c>
      <c r="I308">
        <v>2</v>
      </c>
      <c r="J308">
        <v>4200</v>
      </c>
      <c r="K308">
        <v>0</v>
      </c>
      <c r="L308">
        <v>8400</v>
      </c>
      <c r="M308">
        <v>5827.1</v>
      </c>
      <c r="N308">
        <v>2572.9</v>
      </c>
    </row>
    <row r="309" spans="1:14" x14ac:dyDescent="0.25">
      <c r="A309" t="s">
        <v>377</v>
      </c>
      <c r="B309">
        <v>45877</v>
      </c>
      <c r="C309" t="s">
        <v>33</v>
      </c>
      <c r="D309" t="s">
        <v>34</v>
      </c>
      <c r="E309" t="s">
        <v>29</v>
      </c>
      <c r="F309" t="s">
        <v>47</v>
      </c>
      <c r="G309" t="s">
        <v>84</v>
      </c>
      <c r="H309" t="s">
        <v>45</v>
      </c>
      <c r="I309">
        <v>6</v>
      </c>
      <c r="J309">
        <v>10500</v>
      </c>
      <c r="K309">
        <v>0</v>
      </c>
      <c r="L309">
        <v>63000</v>
      </c>
      <c r="M309">
        <v>45984.59</v>
      </c>
      <c r="N309">
        <v>17015.41</v>
      </c>
    </row>
    <row r="310" spans="1:14" x14ac:dyDescent="0.25">
      <c r="A310" t="s">
        <v>378</v>
      </c>
      <c r="B310">
        <v>45948</v>
      </c>
      <c r="C310" t="s">
        <v>43</v>
      </c>
      <c r="D310" t="s">
        <v>44</v>
      </c>
      <c r="E310" t="s">
        <v>23</v>
      </c>
      <c r="F310" t="s">
        <v>35</v>
      </c>
      <c r="G310" t="s">
        <v>36</v>
      </c>
      <c r="H310" t="s">
        <v>70</v>
      </c>
      <c r="I310">
        <v>2</v>
      </c>
      <c r="J310">
        <v>26000</v>
      </c>
      <c r="K310">
        <v>0.05</v>
      </c>
      <c r="L310">
        <v>49400</v>
      </c>
      <c r="M310">
        <v>38678.800000000003</v>
      </c>
      <c r="N310">
        <v>10721.2</v>
      </c>
    </row>
    <row r="311" spans="1:14" x14ac:dyDescent="0.25">
      <c r="A311" t="s">
        <v>379</v>
      </c>
      <c r="B311">
        <v>45659</v>
      </c>
      <c r="C311" t="s">
        <v>15</v>
      </c>
      <c r="D311" t="s">
        <v>16</v>
      </c>
      <c r="E311" t="s">
        <v>23</v>
      </c>
      <c r="F311" t="s">
        <v>24</v>
      </c>
      <c r="G311" t="s">
        <v>129</v>
      </c>
      <c r="H311" t="s">
        <v>37</v>
      </c>
      <c r="I311">
        <v>7</v>
      </c>
      <c r="J311">
        <v>58000</v>
      </c>
      <c r="K311">
        <v>0.05</v>
      </c>
      <c r="L311">
        <v>385700</v>
      </c>
      <c r="M311">
        <v>254319.55</v>
      </c>
      <c r="N311">
        <v>131380.45000000001</v>
      </c>
    </row>
    <row r="312" spans="1:14" x14ac:dyDescent="0.25">
      <c r="A312" t="s">
        <v>380</v>
      </c>
      <c r="B312">
        <v>45676</v>
      </c>
      <c r="C312" t="s">
        <v>27</v>
      </c>
      <c r="D312" t="s">
        <v>28</v>
      </c>
      <c r="E312" t="s">
        <v>29</v>
      </c>
      <c r="F312" t="s">
        <v>47</v>
      </c>
      <c r="G312" t="s">
        <v>84</v>
      </c>
      <c r="H312" t="s">
        <v>41</v>
      </c>
      <c r="I312">
        <v>6</v>
      </c>
      <c r="J312">
        <v>10500</v>
      </c>
      <c r="K312">
        <v>0.1</v>
      </c>
      <c r="L312">
        <v>56700</v>
      </c>
      <c r="M312">
        <v>45457.49</v>
      </c>
      <c r="N312">
        <v>11242.51</v>
      </c>
    </row>
    <row r="313" spans="1:14" x14ac:dyDescent="0.25">
      <c r="A313" t="s">
        <v>381</v>
      </c>
      <c r="B313">
        <v>45950</v>
      </c>
      <c r="C313" t="s">
        <v>33</v>
      </c>
      <c r="D313" t="s">
        <v>34</v>
      </c>
      <c r="E313" t="s">
        <v>17</v>
      </c>
      <c r="F313" t="s">
        <v>78</v>
      </c>
      <c r="G313" t="s">
        <v>82</v>
      </c>
      <c r="H313" t="s">
        <v>20</v>
      </c>
      <c r="I313">
        <v>1</v>
      </c>
      <c r="J313">
        <v>450</v>
      </c>
      <c r="K313">
        <v>0.15</v>
      </c>
      <c r="L313">
        <v>382.5</v>
      </c>
      <c r="M313">
        <v>242.95</v>
      </c>
      <c r="N313">
        <v>139.55000000000001</v>
      </c>
    </row>
    <row r="314" spans="1:14" x14ac:dyDescent="0.25">
      <c r="A314" t="s">
        <v>382</v>
      </c>
      <c r="B314">
        <v>45896</v>
      </c>
      <c r="C314" t="s">
        <v>33</v>
      </c>
      <c r="D314" t="s">
        <v>63</v>
      </c>
      <c r="E314" t="s">
        <v>29</v>
      </c>
      <c r="F314" t="s">
        <v>47</v>
      </c>
      <c r="G314" t="s">
        <v>48</v>
      </c>
      <c r="H314" t="s">
        <v>45</v>
      </c>
      <c r="I314">
        <v>1</v>
      </c>
      <c r="J314">
        <v>4200</v>
      </c>
      <c r="K314">
        <v>0.1</v>
      </c>
      <c r="L314">
        <v>3780</v>
      </c>
      <c r="M314">
        <v>2510.48</v>
      </c>
      <c r="N314">
        <v>1269.52</v>
      </c>
    </row>
    <row r="315" spans="1:14" x14ac:dyDescent="0.25">
      <c r="A315" t="s">
        <v>383</v>
      </c>
      <c r="B315">
        <v>45946</v>
      </c>
      <c r="C315" t="s">
        <v>33</v>
      </c>
      <c r="D315" t="s">
        <v>59</v>
      </c>
      <c r="E315" t="s">
        <v>29</v>
      </c>
      <c r="F315" t="s">
        <v>30</v>
      </c>
      <c r="G315" t="s">
        <v>51</v>
      </c>
      <c r="H315" t="s">
        <v>45</v>
      </c>
      <c r="I315">
        <v>4</v>
      </c>
      <c r="J315">
        <v>25000</v>
      </c>
      <c r="K315">
        <v>0.05</v>
      </c>
      <c r="L315">
        <v>95000</v>
      </c>
      <c r="M315">
        <v>62046.84</v>
      </c>
      <c r="N315">
        <v>32953.160000000003</v>
      </c>
    </row>
    <row r="316" spans="1:14" x14ac:dyDescent="0.25">
      <c r="A316" t="s">
        <v>384</v>
      </c>
      <c r="B316">
        <v>45867</v>
      </c>
      <c r="C316" t="s">
        <v>15</v>
      </c>
      <c r="D316" t="s">
        <v>128</v>
      </c>
      <c r="E316" t="s">
        <v>17</v>
      </c>
      <c r="F316" t="s">
        <v>18</v>
      </c>
      <c r="G316" t="s">
        <v>19</v>
      </c>
      <c r="H316" t="s">
        <v>37</v>
      </c>
      <c r="I316">
        <v>1</v>
      </c>
      <c r="J316">
        <v>8500</v>
      </c>
      <c r="K316">
        <v>0.15</v>
      </c>
      <c r="L316">
        <v>7225</v>
      </c>
      <c r="M316">
        <v>5829</v>
      </c>
      <c r="N316">
        <v>1396</v>
      </c>
    </row>
    <row r="317" spans="1:14" x14ac:dyDescent="0.25">
      <c r="A317" t="s">
        <v>385</v>
      </c>
      <c r="B317">
        <v>45815</v>
      </c>
      <c r="C317" t="s">
        <v>15</v>
      </c>
      <c r="D317" t="s">
        <v>128</v>
      </c>
      <c r="E317" t="s">
        <v>17</v>
      </c>
      <c r="F317" t="s">
        <v>78</v>
      </c>
      <c r="G317" t="s">
        <v>79</v>
      </c>
      <c r="H317" t="s">
        <v>45</v>
      </c>
      <c r="I317">
        <v>1</v>
      </c>
      <c r="J317">
        <v>250</v>
      </c>
      <c r="K317">
        <v>0.05</v>
      </c>
      <c r="L317">
        <v>237.5</v>
      </c>
      <c r="M317">
        <v>184.43</v>
      </c>
      <c r="N317">
        <v>53.07</v>
      </c>
    </row>
    <row r="318" spans="1:14" x14ac:dyDescent="0.25">
      <c r="A318" t="s">
        <v>386</v>
      </c>
      <c r="B318">
        <v>45705</v>
      </c>
      <c r="C318" t="s">
        <v>15</v>
      </c>
      <c r="D318" t="s">
        <v>128</v>
      </c>
      <c r="E318" t="s">
        <v>17</v>
      </c>
      <c r="F318" t="s">
        <v>18</v>
      </c>
      <c r="G318" t="s">
        <v>99</v>
      </c>
      <c r="H318" t="s">
        <v>45</v>
      </c>
      <c r="I318">
        <v>2</v>
      </c>
      <c r="J318">
        <v>14500</v>
      </c>
      <c r="K318">
        <v>0</v>
      </c>
      <c r="L318">
        <v>29000</v>
      </c>
      <c r="M318">
        <v>21204.63</v>
      </c>
      <c r="N318">
        <v>7795.37</v>
      </c>
    </row>
    <row r="319" spans="1:14" x14ac:dyDescent="0.25">
      <c r="A319" t="s">
        <v>387</v>
      </c>
      <c r="B319">
        <v>45984</v>
      </c>
      <c r="C319" t="s">
        <v>27</v>
      </c>
      <c r="D319" t="s">
        <v>61</v>
      </c>
      <c r="E319" t="s">
        <v>17</v>
      </c>
      <c r="F319" t="s">
        <v>78</v>
      </c>
      <c r="G319" t="s">
        <v>79</v>
      </c>
      <c r="H319" t="s">
        <v>41</v>
      </c>
      <c r="I319">
        <v>3</v>
      </c>
      <c r="J319">
        <v>250</v>
      </c>
      <c r="K319">
        <v>0.05</v>
      </c>
      <c r="L319">
        <v>712.5</v>
      </c>
      <c r="M319">
        <v>487.47</v>
      </c>
      <c r="N319">
        <v>225.03</v>
      </c>
    </row>
    <row r="320" spans="1:14" x14ac:dyDescent="0.25">
      <c r="A320" t="s">
        <v>388</v>
      </c>
      <c r="B320">
        <v>45819</v>
      </c>
      <c r="C320" t="s">
        <v>27</v>
      </c>
      <c r="D320" t="s">
        <v>118</v>
      </c>
      <c r="E320" t="s">
        <v>29</v>
      </c>
      <c r="F320" t="s">
        <v>30</v>
      </c>
      <c r="G320" t="s">
        <v>54</v>
      </c>
      <c r="H320" t="s">
        <v>20</v>
      </c>
      <c r="I320">
        <v>2</v>
      </c>
      <c r="J320">
        <v>12000</v>
      </c>
      <c r="K320">
        <v>0.05</v>
      </c>
      <c r="L320">
        <v>22800</v>
      </c>
      <c r="M320">
        <v>14818.74</v>
      </c>
      <c r="N320">
        <v>7981.26</v>
      </c>
    </row>
    <row r="321" spans="1:14" x14ac:dyDescent="0.25">
      <c r="A321" t="s">
        <v>389</v>
      </c>
      <c r="B321">
        <v>45957</v>
      </c>
      <c r="C321" t="s">
        <v>15</v>
      </c>
      <c r="D321" t="s">
        <v>128</v>
      </c>
      <c r="E321" t="s">
        <v>23</v>
      </c>
      <c r="F321" t="s">
        <v>24</v>
      </c>
      <c r="G321" t="s">
        <v>129</v>
      </c>
      <c r="H321" t="s">
        <v>45</v>
      </c>
      <c r="I321">
        <v>6</v>
      </c>
      <c r="J321">
        <v>58000</v>
      </c>
      <c r="K321">
        <v>0.15</v>
      </c>
      <c r="L321">
        <v>295800</v>
      </c>
      <c r="M321">
        <v>191253.06</v>
      </c>
      <c r="N321">
        <v>104546.94</v>
      </c>
    </row>
    <row r="322" spans="1:14" x14ac:dyDescent="0.25">
      <c r="A322" t="s">
        <v>390</v>
      </c>
      <c r="B322">
        <v>45841</v>
      </c>
      <c r="C322" t="s">
        <v>43</v>
      </c>
      <c r="D322" t="s">
        <v>50</v>
      </c>
      <c r="E322" t="s">
        <v>29</v>
      </c>
      <c r="F322" t="s">
        <v>30</v>
      </c>
      <c r="G322" t="s">
        <v>54</v>
      </c>
      <c r="H322" t="s">
        <v>55</v>
      </c>
      <c r="I322">
        <v>2</v>
      </c>
      <c r="J322">
        <v>12000</v>
      </c>
      <c r="K322">
        <v>0.05</v>
      </c>
      <c r="L322">
        <v>22800</v>
      </c>
      <c r="M322">
        <v>18186.91</v>
      </c>
      <c r="N322">
        <v>4613.09</v>
      </c>
    </row>
    <row r="323" spans="1:14" x14ac:dyDescent="0.25">
      <c r="A323" t="s">
        <v>391</v>
      </c>
      <c r="B323">
        <v>45813</v>
      </c>
      <c r="C323" t="s">
        <v>15</v>
      </c>
      <c r="D323" t="s">
        <v>128</v>
      </c>
      <c r="E323" t="s">
        <v>29</v>
      </c>
      <c r="F323" t="s">
        <v>47</v>
      </c>
      <c r="G323" t="s">
        <v>68</v>
      </c>
      <c r="H323" t="s">
        <v>41</v>
      </c>
      <c r="I323">
        <v>4</v>
      </c>
      <c r="J323">
        <v>6500</v>
      </c>
      <c r="K323">
        <v>0.1</v>
      </c>
      <c r="L323">
        <v>23400</v>
      </c>
      <c r="M323">
        <v>16547.87</v>
      </c>
      <c r="N323">
        <v>6852.13</v>
      </c>
    </row>
    <row r="324" spans="1:14" x14ac:dyDescent="0.25">
      <c r="A324" t="s">
        <v>392</v>
      </c>
      <c r="B324">
        <v>45683</v>
      </c>
      <c r="C324" t="s">
        <v>33</v>
      </c>
      <c r="D324" t="s">
        <v>63</v>
      </c>
      <c r="E324" t="s">
        <v>23</v>
      </c>
      <c r="F324" t="s">
        <v>24</v>
      </c>
      <c r="G324" t="s">
        <v>129</v>
      </c>
      <c r="H324" t="s">
        <v>45</v>
      </c>
      <c r="I324">
        <v>4</v>
      </c>
      <c r="J324">
        <v>58000</v>
      </c>
      <c r="K324">
        <v>0</v>
      </c>
      <c r="L324">
        <v>232000</v>
      </c>
      <c r="M324">
        <v>167422.69</v>
      </c>
      <c r="N324">
        <v>64577.31</v>
      </c>
    </row>
    <row r="325" spans="1:14" x14ac:dyDescent="0.25">
      <c r="A325" t="s">
        <v>393</v>
      </c>
      <c r="B325">
        <v>45729</v>
      </c>
      <c r="C325" t="s">
        <v>15</v>
      </c>
      <c r="D325" t="s">
        <v>16</v>
      </c>
      <c r="E325" t="s">
        <v>23</v>
      </c>
      <c r="F325" t="s">
        <v>24</v>
      </c>
      <c r="G325" t="s">
        <v>25</v>
      </c>
      <c r="H325" t="s">
        <v>20</v>
      </c>
      <c r="I325">
        <v>7</v>
      </c>
      <c r="J325">
        <v>52000</v>
      </c>
      <c r="K325">
        <v>0.1</v>
      </c>
      <c r="L325">
        <v>327600</v>
      </c>
      <c r="M325">
        <v>252573.95</v>
      </c>
      <c r="N325">
        <v>75026.05</v>
      </c>
    </row>
    <row r="326" spans="1:14" x14ac:dyDescent="0.25">
      <c r="A326" t="s">
        <v>394</v>
      </c>
      <c r="B326">
        <v>45988</v>
      </c>
      <c r="C326" t="s">
        <v>15</v>
      </c>
      <c r="D326" t="s">
        <v>67</v>
      </c>
      <c r="E326" t="s">
        <v>23</v>
      </c>
      <c r="F326" t="s">
        <v>24</v>
      </c>
      <c r="G326" t="s">
        <v>25</v>
      </c>
      <c r="H326" t="s">
        <v>20</v>
      </c>
      <c r="I326">
        <v>8</v>
      </c>
      <c r="J326">
        <v>52000</v>
      </c>
      <c r="K326">
        <v>0.05</v>
      </c>
      <c r="L326">
        <v>395200</v>
      </c>
      <c r="M326">
        <v>253020.99</v>
      </c>
      <c r="N326">
        <v>142179.01</v>
      </c>
    </row>
    <row r="327" spans="1:14" x14ac:dyDescent="0.25">
      <c r="A327" t="s">
        <v>395</v>
      </c>
      <c r="B327">
        <v>45827</v>
      </c>
      <c r="C327" t="s">
        <v>15</v>
      </c>
      <c r="D327" t="s">
        <v>16</v>
      </c>
      <c r="E327" t="s">
        <v>29</v>
      </c>
      <c r="F327" t="s">
        <v>47</v>
      </c>
      <c r="G327" t="s">
        <v>68</v>
      </c>
      <c r="H327" t="s">
        <v>70</v>
      </c>
      <c r="I327">
        <v>7</v>
      </c>
      <c r="J327">
        <v>6500</v>
      </c>
      <c r="K327">
        <v>0.15</v>
      </c>
      <c r="L327">
        <v>38675</v>
      </c>
      <c r="M327">
        <v>28199.79</v>
      </c>
      <c r="N327">
        <v>10475.209999999999</v>
      </c>
    </row>
    <row r="328" spans="1:14" x14ac:dyDescent="0.25">
      <c r="A328" t="s">
        <v>396</v>
      </c>
      <c r="B328">
        <v>45853</v>
      </c>
      <c r="C328" t="s">
        <v>27</v>
      </c>
      <c r="D328" t="s">
        <v>28</v>
      </c>
      <c r="E328" t="s">
        <v>29</v>
      </c>
      <c r="F328" t="s">
        <v>47</v>
      </c>
      <c r="G328" t="s">
        <v>68</v>
      </c>
      <c r="H328" t="s">
        <v>37</v>
      </c>
      <c r="I328">
        <v>5</v>
      </c>
      <c r="J328">
        <v>6500</v>
      </c>
      <c r="K328">
        <v>0.15</v>
      </c>
      <c r="L328">
        <v>27625</v>
      </c>
      <c r="M328">
        <v>22496.51</v>
      </c>
      <c r="N328">
        <v>5128.49</v>
      </c>
    </row>
    <row r="329" spans="1:14" x14ac:dyDescent="0.25">
      <c r="A329" t="s">
        <v>397</v>
      </c>
      <c r="B329">
        <v>45675</v>
      </c>
      <c r="C329" t="s">
        <v>43</v>
      </c>
      <c r="D329" t="s">
        <v>44</v>
      </c>
      <c r="E329" t="s">
        <v>29</v>
      </c>
      <c r="F329" t="s">
        <v>30</v>
      </c>
      <c r="G329" t="s">
        <v>51</v>
      </c>
      <c r="H329" t="s">
        <v>45</v>
      </c>
      <c r="I329">
        <v>1</v>
      </c>
      <c r="J329">
        <v>25000</v>
      </c>
      <c r="K329">
        <v>0</v>
      </c>
      <c r="L329">
        <v>25000</v>
      </c>
      <c r="M329">
        <v>17038.77</v>
      </c>
      <c r="N329">
        <v>7961.23</v>
      </c>
    </row>
    <row r="330" spans="1:14" x14ac:dyDescent="0.25">
      <c r="A330" t="s">
        <v>398</v>
      </c>
      <c r="B330">
        <v>45728</v>
      </c>
      <c r="C330" t="s">
        <v>27</v>
      </c>
      <c r="D330" t="s">
        <v>28</v>
      </c>
      <c r="E330" t="s">
        <v>17</v>
      </c>
      <c r="F330" t="s">
        <v>78</v>
      </c>
      <c r="G330" t="s">
        <v>91</v>
      </c>
      <c r="H330" t="s">
        <v>70</v>
      </c>
      <c r="I330">
        <v>1</v>
      </c>
      <c r="J330">
        <v>180</v>
      </c>
      <c r="K330">
        <v>0.15</v>
      </c>
      <c r="L330">
        <v>153</v>
      </c>
      <c r="M330">
        <v>121.18</v>
      </c>
      <c r="N330">
        <v>31.82</v>
      </c>
    </row>
    <row r="331" spans="1:14" x14ac:dyDescent="0.25">
      <c r="A331" t="s">
        <v>399</v>
      </c>
      <c r="B331">
        <v>45841</v>
      </c>
      <c r="C331" t="s">
        <v>27</v>
      </c>
      <c r="D331" t="s">
        <v>57</v>
      </c>
      <c r="E331" t="s">
        <v>29</v>
      </c>
      <c r="F331" t="s">
        <v>30</v>
      </c>
      <c r="G331" t="s">
        <v>54</v>
      </c>
      <c r="H331" t="s">
        <v>37</v>
      </c>
      <c r="I331">
        <v>3</v>
      </c>
      <c r="J331">
        <v>12000</v>
      </c>
      <c r="K331">
        <v>0</v>
      </c>
      <c r="L331">
        <v>36000</v>
      </c>
      <c r="M331">
        <v>24845.51</v>
      </c>
      <c r="N331">
        <v>11154.49</v>
      </c>
    </row>
    <row r="332" spans="1:14" x14ac:dyDescent="0.25">
      <c r="A332" t="s">
        <v>400</v>
      </c>
      <c r="B332">
        <v>45770</v>
      </c>
      <c r="C332" t="s">
        <v>15</v>
      </c>
      <c r="D332" t="s">
        <v>67</v>
      </c>
      <c r="E332" t="s">
        <v>23</v>
      </c>
      <c r="F332" t="s">
        <v>35</v>
      </c>
      <c r="G332" t="s">
        <v>136</v>
      </c>
      <c r="H332" t="s">
        <v>37</v>
      </c>
      <c r="I332">
        <v>4</v>
      </c>
      <c r="J332">
        <v>22000</v>
      </c>
      <c r="K332">
        <v>0.05</v>
      </c>
      <c r="L332">
        <v>83600</v>
      </c>
      <c r="M332">
        <v>53673.67</v>
      </c>
      <c r="N332">
        <v>29926.33</v>
      </c>
    </row>
    <row r="333" spans="1:14" x14ac:dyDescent="0.25">
      <c r="A333" t="s">
        <v>401</v>
      </c>
      <c r="B333">
        <v>45994</v>
      </c>
      <c r="C333" t="s">
        <v>43</v>
      </c>
      <c r="D333" t="s">
        <v>44</v>
      </c>
      <c r="E333" t="s">
        <v>17</v>
      </c>
      <c r="F333" t="s">
        <v>78</v>
      </c>
      <c r="G333" t="s">
        <v>82</v>
      </c>
      <c r="H333" t="s">
        <v>70</v>
      </c>
      <c r="I333">
        <v>7</v>
      </c>
      <c r="J333">
        <v>450</v>
      </c>
      <c r="K333">
        <v>0.1</v>
      </c>
      <c r="L333">
        <v>2835</v>
      </c>
      <c r="M333">
        <v>2340.9899999999998</v>
      </c>
      <c r="N333">
        <v>494.01</v>
      </c>
    </row>
    <row r="334" spans="1:14" x14ac:dyDescent="0.25">
      <c r="A334" t="s">
        <v>402</v>
      </c>
      <c r="B334">
        <v>45746</v>
      </c>
      <c r="C334" t="s">
        <v>43</v>
      </c>
      <c r="D334" t="s">
        <v>75</v>
      </c>
      <c r="E334" t="s">
        <v>17</v>
      </c>
      <c r="F334" t="s">
        <v>18</v>
      </c>
      <c r="G334" t="s">
        <v>99</v>
      </c>
      <c r="H334" t="s">
        <v>70</v>
      </c>
      <c r="I334">
        <v>1</v>
      </c>
      <c r="J334">
        <v>14500</v>
      </c>
      <c r="K334">
        <v>0.1</v>
      </c>
      <c r="L334">
        <v>13050</v>
      </c>
      <c r="M334">
        <v>10811.44</v>
      </c>
      <c r="N334">
        <v>2238.56</v>
      </c>
    </row>
    <row r="335" spans="1:14" x14ac:dyDescent="0.25">
      <c r="A335" t="s">
        <v>403</v>
      </c>
      <c r="B335">
        <v>45946</v>
      </c>
      <c r="C335" t="s">
        <v>43</v>
      </c>
      <c r="D335" t="s">
        <v>75</v>
      </c>
      <c r="E335" t="s">
        <v>29</v>
      </c>
      <c r="F335" t="s">
        <v>30</v>
      </c>
      <c r="G335" t="s">
        <v>31</v>
      </c>
      <c r="H335" t="s">
        <v>45</v>
      </c>
      <c r="I335">
        <v>1</v>
      </c>
      <c r="J335">
        <v>7000</v>
      </c>
      <c r="K335">
        <v>0</v>
      </c>
      <c r="L335">
        <v>7000</v>
      </c>
      <c r="M335">
        <v>4426.5</v>
      </c>
      <c r="N335">
        <v>2573.5</v>
      </c>
    </row>
    <row r="336" spans="1:14" x14ac:dyDescent="0.25">
      <c r="A336" t="s">
        <v>404</v>
      </c>
      <c r="B336">
        <v>45966</v>
      </c>
      <c r="C336" t="s">
        <v>43</v>
      </c>
      <c r="D336" t="s">
        <v>53</v>
      </c>
      <c r="E336" t="s">
        <v>17</v>
      </c>
      <c r="F336" t="s">
        <v>18</v>
      </c>
      <c r="G336" t="s">
        <v>19</v>
      </c>
      <c r="H336" t="s">
        <v>37</v>
      </c>
      <c r="I336">
        <v>4</v>
      </c>
      <c r="J336">
        <v>8500</v>
      </c>
      <c r="K336">
        <v>0.05</v>
      </c>
      <c r="L336">
        <v>32300</v>
      </c>
      <c r="M336">
        <v>22447.43</v>
      </c>
      <c r="N336">
        <v>9852.57</v>
      </c>
    </row>
    <row r="337" spans="1:14" x14ac:dyDescent="0.25">
      <c r="A337" t="s">
        <v>405</v>
      </c>
      <c r="B337">
        <v>45748</v>
      </c>
      <c r="C337" t="s">
        <v>33</v>
      </c>
      <c r="D337" t="s">
        <v>34</v>
      </c>
      <c r="E337" t="s">
        <v>23</v>
      </c>
      <c r="F337" t="s">
        <v>24</v>
      </c>
      <c r="G337" t="s">
        <v>76</v>
      </c>
      <c r="H337" t="s">
        <v>41</v>
      </c>
      <c r="I337">
        <v>3</v>
      </c>
      <c r="J337">
        <v>49000</v>
      </c>
      <c r="K337">
        <v>0</v>
      </c>
      <c r="L337">
        <v>147000</v>
      </c>
      <c r="M337">
        <v>118515.19</v>
      </c>
      <c r="N337">
        <v>28484.81</v>
      </c>
    </row>
    <row r="338" spans="1:14" x14ac:dyDescent="0.25">
      <c r="A338" t="s">
        <v>406</v>
      </c>
      <c r="B338">
        <v>45844</v>
      </c>
      <c r="C338" t="s">
        <v>15</v>
      </c>
      <c r="D338" t="s">
        <v>67</v>
      </c>
      <c r="E338" t="s">
        <v>17</v>
      </c>
      <c r="F338" t="s">
        <v>18</v>
      </c>
      <c r="G338" t="s">
        <v>19</v>
      </c>
      <c r="H338" t="s">
        <v>37</v>
      </c>
      <c r="I338">
        <v>5</v>
      </c>
      <c r="J338">
        <v>8500</v>
      </c>
      <c r="K338">
        <v>0.1</v>
      </c>
      <c r="L338">
        <v>38250</v>
      </c>
      <c r="M338">
        <v>24863.24</v>
      </c>
      <c r="N338">
        <v>13386.76</v>
      </c>
    </row>
    <row r="339" spans="1:14" x14ac:dyDescent="0.25">
      <c r="A339" t="s">
        <v>407</v>
      </c>
      <c r="B339">
        <v>45738</v>
      </c>
      <c r="C339" t="s">
        <v>27</v>
      </c>
      <c r="D339" t="s">
        <v>57</v>
      </c>
      <c r="E339" t="s">
        <v>17</v>
      </c>
      <c r="F339" t="s">
        <v>18</v>
      </c>
      <c r="G339" t="s">
        <v>19</v>
      </c>
      <c r="H339" t="s">
        <v>41</v>
      </c>
      <c r="I339">
        <v>6</v>
      </c>
      <c r="J339">
        <v>8500</v>
      </c>
      <c r="K339">
        <v>0.05</v>
      </c>
      <c r="L339">
        <v>48450</v>
      </c>
      <c r="M339">
        <v>37132.9</v>
      </c>
      <c r="N339">
        <v>11317.1</v>
      </c>
    </row>
    <row r="340" spans="1:14" x14ac:dyDescent="0.25">
      <c r="A340" t="s">
        <v>408</v>
      </c>
      <c r="B340">
        <v>45747</v>
      </c>
      <c r="C340" t="s">
        <v>27</v>
      </c>
      <c r="D340" t="s">
        <v>118</v>
      </c>
      <c r="E340" t="s">
        <v>17</v>
      </c>
      <c r="F340" t="s">
        <v>18</v>
      </c>
      <c r="G340" t="s">
        <v>19</v>
      </c>
      <c r="H340" t="s">
        <v>20</v>
      </c>
      <c r="I340">
        <v>1</v>
      </c>
      <c r="J340">
        <v>8500</v>
      </c>
      <c r="K340">
        <v>0.15</v>
      </c>
      <c r="L340">
        <v>7225</v>
      </c>
      <c r="M340">
        <v>5831.78</v>
      </c>
      <c r="N340">
        <v>1393.22</v>
      </c>
    </row>
    <row r="341" spans="1:14" x14ac:dyDescent="0.25">
      <c r="A341" t="s">
        <v>409</v>
      </c>
      <c r="B341">
        <v>45948</v>
      </c>
      <c r="C341" t="s">
        <v>15</v>
      </c>
      <c r="D341" t="s">
        <v>128</v>
      </c>
      <c r="E341" t="s">
        <v>17</v>
      </c>
      <c r="F341" t="s">
        <v>18</v>
      </c>
      <c r="G341" t="s">
        <v>19</v>
      </c>
      <c r="H341" t="s">
        <v>41</v>
      </c>
      <c r="I341">
        <v>2</v>
      </c>
      <c r="J341">
        <v>8500</v>
      </c>
      <c r="K341">
        <v>0.15</v>
      </c>
      <c r="L341">
        <v>14450</v>
      </c>
      <c r="M341">
        <v>9406.11</v>
      </c>
      <c r="N341">
        <v>5043.8900000000003</v>
      </c>
    </row>
    <row r="342" spans="1:14" x14ac:dyDescent="0.25">
      <c r="A342" t="s">
        <v>410</v>
      </c>
      <c r="B342">
        <v>45697</v>
      </c>
      <c r="C342" t="s">
        <v>43</v>
      </c>
      <c r="D342" t="s">
        <v>44</v>
      </c>
      <c r="E342" t="s">
        <v>29</v>
      </c>
      <c r="F342" t="s">
        <v>47</v>
      </c>
      <c r="G342" t="s">
        <v>48</v>
      </c>
      <c r="H342" t="s">
        <v>55</v>
      </c>
      <c r="I342">
        <v>6</v>
      </c>
      <c r="J342">
        <v>4200</v>
      </c>
      <c r="K342">
        <v>0.15</v>
      </c>
      <c r="L342">
        <v>21420</v>
      </c>
      <c r="M342">
        <v>13334.1</v>
      </c>
      <c r="N342">
        <v>8085.9</v>
      </c>
    </row>
    <row r="343" spans="1:14" x14ac:dyDescent="0.25">
      <c r="A343" t="s">
        <v>411</v>
      </c>
      <c r="B343">
        <v>45765</v>
      </c>
      <c r="C343" t="s">
        <v>43</v>
      </c>
      <c r="D343" t="s">
        <v>53</v>
      </c>
      <c r="E343" t="s">
        <v>29</v>
      </c>
      <c r="F343" t="s">
        <v>30</v>
      </c>
      <c r="G343" t="s">
        <v>31</v>
      </c>
      <c r="H343" t="s">
        <v>41</v>
      </c>
      <c r="I343">
        <v>1</v>
      </c>
      <c r="J343">
        <v>7000</v>
      </c>
      <c r="K343">
        <v>0</v>
      </c>
      <c r="L343">
        <v>7000</v>
      </c>
      <c r="M343">
        <v>4934.34</v>
      </c>
      <c r="N343">
        <v>2065.66</v>
      </c>
    </row>
    <row r="344" spans="1:14" x14ac:dyDescent="0.25">
      <c r="A344" t="s">
        <v>412</v>
      </c>
      <c r="B344">
        <v>45872</v>
      </c>
      <c r="C344" t="s">
        <v>43</v>
      </c>
      <c r="D344" t="s">
        <v>50</v>
      </c>
      <c r="E344" t="s">
        <v>29</v>
      </c>
      <c r="F344" t="s">
        <v>30</v>
      </c>
      <c r="G344" t="s">
        <v>54</v>
      </c>
      <c r="H344" t="s">
        <v>70</v>
      </c>
      <c r="I344">
        <v>7</v>
      </c>
      <c r="J344">
        <v>12000</v>
      </c>
      <c r="K344">
        <v>0</v>
      </c>
      <c r="L344">
        <v>84000</v>
      </c>
      <c r="M344">
        <v>67396.350000000006</v>
      </c>
      <c r="N344">
        <v>16603.650000000001</v>
      </c>
    </row>
    <row r="345" spans="1:14" x14ac:dyDescent="0.25">
      <c r="A345" t="s">
        <v>413</v>
      </c>
      <c r="B345">
        <v>45953</v>
      </c>
      <c r="C345" t="s">
        <v>43</v>
      </c>
      <c r="D345" t="s">
        <v>75</v>
      </c>
      <c r="E345" t="s">
        <v>29</v>
      </c>
      <c r="F345" t="s">
        <v>47</v>
      </c>
      <c r="G345" t="s">
        <v>68</v>
      </c>
      <c r="H345" t="s">
        <v>37</v>
      </c>
      <c r="I345">
        <v>1</v>
      </c>
      <c r="J345">
        <v>6500</v>
      </c>
      <c r="K345">
        <v>0.1</v>
      </c>
      <c r="L345">
        <v>5850</v>
      </c>
      <c r="M345">
        <v>3963.07</v>
      </c>
      <c r="N345">
        <v>1886.93</v>
      </c>
    </row>
    <row r="346" spans="1:14" x14ac:dyDescent="0.25">
      <c r="A346" t="s">
        <v>414</v>
      </c>
      <c r="B346">
        <v>45711</v>
      </c>
      <c r="C346" t="s">
        <v>15</v>
      </c>
      <c r="D346" t="s">
        <v>67</v>
      </c>
      <c r="E346" t="s">
        <v>23</v>
      </c>
      <c r="F346" t="s">
        <v>35</v>
      </c>
      <c r="G346" t="s">
        <v>36</v>
      </c>
      <c r="H346" t="s">
        <v>41</v>
      </c>
      <c r="I346">
        <v>2</v>
      </c>
      <c r="J346">
        <v>26000</v>
      </c>
      <c r="K346">
        <v>0</v>
      </c>
      <c r="L346">
        <v>52000</v>
      </c>
      <c r="M346">
        <v>36106.15</v>
      </c>
      <c r="N346">
        <v>15893.85</v>
      </c>
    </row>
    <row r="347" spans="1:14" x14ac:dyDescent="0.25">
      <c r="A347" t="s">
        <v>415</v>
      </c>
      <c r="B347">
        <v>45972</v>
      </c>
      <c r="C347" t="s">
        <v>27</v>
      </c>
      <c r="D347" t="s">
        <v>61</v>
      </c>
      <c r="E347" t="s">
        <v>29</v>
      </c>
      <c r="F347" t="s">
        <v>47</v>
      </c>
      <c r="G347" t="s">
        <v>48</v>
      </c>
      <c r="H347" t="s">
        <v>45</v>
      </c>
      <c r="I347">
        <v>3</v>
      </c>
      <c r="J347">
        <v>4200</v>
      </c>
      <c r="K347">
        <v>0</v>
      </c>
      <c r="L347">
        <v>12600</v>
      </c>
      <c r="M347">
        <v>8092.69</v>
      </c>
      <c r="N347">
        <v>4507.3100000000004</v>
      </c>
    </row>
    <row r="348" spans="1:14" x14ac:dyDescent="0.25">
      <c r="A348" t="s">
        <v>416</v>
      </c>
      <c r="B348">
        <v>45763</v>
      </c>
      <c r="C348" t="s">
        <v>43</v>
      </c>
      <c r="D348" t="s">
        <v>50</v>
      </c>
      <c r="E348" t="s">
        <v>17</v>
      </c>
      <c r="F348" t="s">
        <v>18</v>
      </c>
      <c r="G348" t="s">
        <v>99</v>
      </c>
      <c r="H348" t="s">
        <v>37</v>
      </c>
      <c r="I348">
        <v>4</v>
      </c>
      <c r="J348">
        <v>14500</v>
      </c>
      <c r="K348">
        <v>0</v>
      </c>
      <c r="L348">
        <v>58000</v>
      </c>
      <c r="M348">
        <v>36593.35</v>
      </c>
      <c r="N348">
        <v>21406.65</v>
      </c>
    </row>
    <row r="349" spans="1:14" x14ac:dyDescent="0.25">
      <c r="A349" t="s">
        <v>417</v>
      </c>
      <c r="B349">
        <v>45950</v>
      </c>
      <c r="C349" t="s">
        <v>27</v>
      </c>
      <c r="D349" t="s">
        <v>28</v>
      </c>
      <c r="E349" t="s">
        <v>23</v>
      </c>
      <c r="F349" t="s">
        <v>35</v>
      </c>
      <c r="G349" t="s">
        <v>36</v>
      </c>
      <c r="H349" t="s">
        <v>45</v>
      </c>
      <c r="I349">
        <v>2</v>
      </c>
      <c r="J349">
        <v>26000</v>
      </c>
      <c r="K349">
        <v>0.1</v>
      </c>
      <c r="L349">
        <v>46800</v>
      </c>
      <c r="M349">
        <v>37498.85</v>
      </c>
      <c r="N349">
        <v>9301.15</v>
      </c>
    </row>
    <row r="350" spans="1:14" x14ac:dyDescent="0.25">
      <c r="A350" t="s">
        <v>418</v>
      </c>
      <c r="B350">
        <v>45978</v>
      </c>
      <c r="C350" t="s">
        <v>27</v>
      </c>
      <c r="D350" t="s">
        <v>28</v>
      </c>
      <c r="E350" t="s">
        <v>23</v>
      </c>
      <c r="F350" t="s">
        <v>24</v>
      </c>
      <c r="G350" t="s">
        <v>25</v>
      </c>
      <c r="H350" t="s">
        <v>20</v>
      </c>
      <c r="I350">
        <v>5</v>
      </c>
      <c r="J350">
        <v>52000</v>
      </c>
      <c r="K350">
        <v>0</v>
      </c>
      <c r="L350">
        <v>260000</v>
      </c>
      <c r="M350">
        <v>188288.24</v>
      </c>
      <c r="N350">
        <v>71711.759999999995</v>
      </c>
    </row>
    <row r="351" spans="1:14" x14ac:dyDescent="0.25">
      <c r="A351" t="s">
        <v>419</v>
      </c>
      <c r="B351">
        <v>45717</v>
      </c>
      <c r="C351" t="s">
        <v>33</v>
      </c>
      <c r="D351" t="s">
        <v>73</v>
      </c>
      <c r="E351" t="s">
        <v>29</v>
      </c>
      <c r="F351" t="s">
        <v>30</v>
      </c>
      <c r="G351" t="s">
        <v>51</v>
      </c>
      <c r="H351" t="s">
        <v>37</v>
      </c>
      <c r="I351">
        <v>2</v>
      </c>
      <c r="J351">
        <v>25000</v>
      </c>
      <c r="K351">
        <v>0.15</v>
      </c>
      <c r="L351">
        <v>42500</v>
      </c>
      <c r="M351">
        <v>28078.639999999999</v>
      </c>
      <c r="N351">
        <v>14421.36</v>
      </c>
    </row>
    <row r="352" spans="1:14" x14ac:dyDescent="0.25">
      <c r="A352" t="s">
        <v>420</v>
      </c>
      <c r="B352">
        <v>45853</v>
      </c>
      <c r="C352" t="s">
        <v>33</v>
      </c>
      <c r="D352" t="s">
        <v>59</v>
      </c>
      <c r="E352" t="s">
        <v>29</v>
      </c>
      <c r="F352" t="s">
        <v>47</v>
      </c>
      <c r="G352" t="s">
        <v>84</v>
      </c>
      <c r="H352" t="s">
        <v>45</v>
      </c>
      <c r="I352">
        <v>8</v>
      </c>
      <c r="J352">
        <v>10500</v>
      </c>
      <c r="K352">
        <v>0.1</v>
      </c>
      <c r="L352">
        <v>75600</v>
      </c>
      <c r="M352">
        <v>50634.86</v>
      </c>
      <c r="N352">
        <v>24965.14</v>
      </c>
    </row>
    <row r="353" spans="1:14" x14ac:dyDescent="0.25">
      <c r="A353" t="s">
        <v>421</v>
      </c>
      <c r="B353">
        <v>45795</v>
      </c>
      <c r="C353" t="s">
        <v>15</v>
      </c>
      <c r="D353" t="s">
        <v>128</v>
      </c>
      <c r="E353" t="s">
        <v>17</v>
      </c>
      <c r="F353" t="s">
        <v>78</v>
      </c>
      <c r="G353" t="s">
        <v>82</v>
      </c>
      <c r="H353" t="s">
        <v>41</v>
      </c>
      <c r="I353">
        <v>6</v>
      </c>
      <c r="J353">
        <v>450</v>
      </c>
      <c r="K353">
        <v>0.15</v>
      </c>
      <c r="L353">
        <v>2295</v>
      </c>
      <c r="M353">
        <v>1913.01</v>
      </c>
      <c r="N353">
        <v>381.99</v>
      </c>
    </row>
    <row r="354" spans="1:14" x14ac:dyDescent="0.25">
      <c r="A354" t="s">
        <v>422</v>
      </c>
      <c r="B354">
        <v>45959</v>
      </c>
      <c r="C354" t="s">
        <v>43</v>
      </c>
      <c r="D354" t="s">
        <v>53</v>
      </c>
      <c r="E354" t="s">
        <v>29</v>
      </c>
      <c r="F354" t="s">
        <v>30</v>
      </c>
      <c r="G354" t="s">
        <v>51</v>
      </c>
      <c r="H354" t="s">
        <v>41</v>
      </c>
      <c r="I354">
        <v>8</v>
      </c>
      <c r="J354">
        <v>25000</v>
      </c>
      <c r="K354">
        <v>0.05</v>
      </c>
      <c r="L354">
        <v>190000</v>
      </c>
      <c r="M354">
        <v>137707.76</v>
      </c>
      <c r="N354">
        <v>52292.24</v>
      </c>
    </row>
    <row r="355" spans="1:14" x14ac:dyDescent="0.25">
      <c r="A355" t="s">
        <v>423</v>
      </c>
      <c r="B355">
        <v>45698</v>
      </c>
      <c r="C355" t="s">
        <v>27</v>
      </c>
      <c r="D355" t="s">
        <v>61</v>
      </c>
      <c r="E355" t="s">
        <v>17</v>
      </c>
      <c r="F355" t="s">
        <v>78</v>
      </c>
      <c r="G355" t="s">
        <v>82</v>
      </c>
      <c r="H355" t="s">
        <v>45</v>
      </c>
      <c r="I355">
        <v>3</v>
      </c>
      <c r="J355">
        <v>450</v>
      </c>
      <c r="K355">
        <v>0.05</v>
      </c>
      <c r="L355">
        <v>1282.5</v>
      </c>
      <c r="M355">
        <v>1069.45</v>
      </c>
      <c r="N355">
        <v>213.05</v>
      </c>
    </row>
    <row r="356" spans="1:14" x14ac:dyDescent="0.25">
      <c r="A356" t="s">
        <v>424</v>
      </c>
      <c r="B356">
        <v>45756</v>
      </c>
      <c r="C356" t="s">
        <v>43</v>
      </c>
      <c r="D356" t="s">
        <v>53</v>
      </c>
      <c r="E356" t="s">
        <v>29</v>
      </c>
      <c r="F356" t="s">
        <v>47</v>
      </c>
      <c r="G356" t="s">
        <v>48</v>
      </c>
      <c r="H356" t="s">
        <v>45</v>
      </c>
      <c r="I356">
        <v>4</v>
      </c>
      <c r="J356">
        <v>4200</v>
      </c>
      <c r="K356">
        <v>0.05</v>
      </c>
      <c r="L356">
        <v>15960</v>
      </c>
      <c r="M356">
        <v>12823.92</v>
      </c>
      <c r="N356">
        <v>3136.08</v>
      </c>
    </row>
    <row r="357" spans="1:14" x14ac:dyDescent="0.25">
      <c r="A357" t="s">
        <v>425</v>
      </c>
      <c r="B357">
        <v>45790</v>
      </c>
      <c r="C357" t="s">
        <v>33</v>
      </c>
      <c r="D357" t="s">
        <v>34</v>
      </c>
      <c r="E357" t="s">
        <v>23</v>
      </c>
      <c r="F357" t="s">
        <v>35</v>
      </c>
      <c r="G357" t="s">
        <v>136</v>
      </c>
      <c r="H357" t="s">
        <v>45</v>
      </c>
      <c r="I357">
        <v>6</v>
      </c>
      <c r="J357">
        <v>22000</v>
      </c>
      <c r="K357">
        <v>0.1</v>
      </c>
      <c r="L357">
        <v>118800</v>
      </c>
      <c r="M357">
        <v>87238.57</v>
      </c>
      <c r="N357">
        <v>31561.43</v>
      </c>
    </row>
    <row r="358" spans="1:14" x14ac:dyDescent="0.25">
      <c r="A358" t="s">
        <v>426</v>
      </c>
      <c r="B358">
        <v>45664</v>
      </c>
      <c r="C358" t="s">
        <v>27</v>
      </c>
      <c r="D358" t="s">
        <v>61</v>
      </c>
      <c r="E358" t="s">
        <v>29</v>
      </c>
      <c r="F358" t="s">
        <v>47</v>
      </c>
      <c r="G358" t="s">
        <v>68</v>
      </c>
      <c r="H358" t="s">
        <v>70</v>
      </c>
      <c r="I358">
        <v>2</v>
      </c>
      <c r="J358">
        <v>6500</v>
      </c>
      <c r="K358">
        <v>0</v>
      </c>
      <c r="L358">
        <v>13000</v>
      </c>
      <c r="M358">
        <v>9669.2800000000007</v>
      </c>
      <c r="N358">
        <v>3330.72</v>
      </c>
    </row>
    <row r="359" spans="1:14" x14ac:dyDescent="0.25">
      <c r="A359" t="s">
        <v>427</v>
      </c>
      <c r="B359">
        <v>45709</v>
      </c>
      <c r="C359" t="s">
        <v>33</v>
      </c>
      <c r="D359" t="s">
        <v>63</v>
      </c>
      <c r="E359" t="s">
        <v>29</v>
      </c>
      <c r="F359" t="s">
        <v>30</v>
      </c>
      <c r="G359" t="s">
        <v>54</v>
      </c>
      <c r="H359" t="s">
        <v>41</v>
      </c>
      <c r="I359">
        <v>8</v>
      </c>
      <c r="J359">
        <v>12000</v>
      </c>
      <c r="K359">
        <v>0.15</v>
      </c>
      <c r="L359">
        <v>81600</v>
      </c>
      <c r="M359">
        <v>51264.58</v>
      </c>
      <c r="N359">
        <v>30335.42</v>
      </c>
    </row>
    <row r="360" spans="1:14" x14ac:dyDescent="0.25">
      <c r="A360" t="s">
        <v>428</v>
      </c>
      <c r="B360">
        <v>45799</v>
      </c>
      <c r="C360" t="s">
        <v>27</v>
      </c>
      <c r="D360" t="s">
        <v>28</v>
      </c>
      <c r="E360" t="s">
        <v>17</v>
      </c>
      <c r="F360" t="s">
        <v>18</v>
      </c>
      <c r="G360" t="s">
        <v>19</v>
      </c>
      <c r="H360" t="s">
        <v>45</v>
      </c>
      <c r="I360">
        <v>6</v>
      </c>
      <c r="J360">
        <v>8500</v>
      </c>
      <c r="K360">
        <v>0.05</v>
      </c>
      <c r="L360">
        <v>48450</v>
      </c>
      <c r="M360">
        <v>30564.39</v>
      </c>
      <c r="N360">
        <v>17885.61</v>
      </c>
    </row>
    <row r="361" spans="1:14" x14ac:dyDescent="0.25">
      <c r="A361" t="s">
        <v>429</v>
      </c>
      <c r="B361">
        <v>45901</v>
      </c>
      <c r="C361" t="s">
        <v>33</v>
      </c>
      <c r="D361" t="s">
        <v>63</v>
      </c>
      <c r="E361" t="s">
        <v>23</v>
      </c>
      <c r="F361" t="s">
        <v>35</v>
      </c>
      <c r="G361" t="s">
        <v>64</v>
      </c>
      <c r="H361" t="s">
        <v>37</v>
      </c>
      <c r="I361">
        <v>5</v>
      </c>
      <c r="J361">
        <v>31000</v>
      </c>
      <c r="K361">
        <v>0.15</v>
      </c>
      <c r="L361">
        <v>131750</v>
      </c>
      <c r="M361">
        <v>106560.94</v>
      </c>
      <c r="N361">
        <v>25189.06</v>
      </c>
    </row>
    <row r="362" spans="1:14" x14ac:dyDescent="0.25">
      <c r="A362" t="s">
        <v>430</v>
      </c>
      <c r="B362">
        <v>46008</v>
      </c>
      <c r="C362" t="s">
        <v>15</v>
      </c>
      <c r="D362" t="s">
        <v>128</v>
      </c>
      <c r="E362" t="s">
        <v>23</v>
      </c>
      <c r="F362" t="s">
        <v>35</v>
      </c>
      <c r="G362" t="s">
        <v>136</v>
      </c>
      <c r="H362" t="s">
        <v>45</v>
      </c>
      <c r="I362">
        <v>6</v>
      </c>
      <c r="J362">
        <v>22000</v>
      </c>
      <c r="K362">
        <v>0.1</v>
      </c>
      <c r="L362">
        <v>118800</v>
      </c>
      <c r="M362">
        <v>92703.9</v>
      </c>
      <c r="N362">
        <v>26096.1</v>
      </c>
    </row>
    <row r="363" spans="1:14" x14ac:dyDescent="0.25">
      <c r="A363" t="s">
        <v>431</v>
      </c>
      <c r="B363">
        <v>45967</v>
      </c>
      <c r="C363" t="s">
        <v>15</v>
      </c>
      <c r="D363" t="s">
        <v>128</v>
      </c>
      <c r="E363" t="s">
        <v>29</v>
      </c>
      <c r="F363" t="s">
        <v>47</v>
      </c>
      <c r="G363" t="s">
        <v>84</v>
      </c>
      <c r="H363" t="s">
        <v>41</v>
      </c>
      <c r="I363">
        <v>8</v>
      </c>
      <c r="J363">
        <v>10500</v>
      </c>
      <c r="K363">
        <v>0.1</v>
      </c>
      <c r="L363">
        <v>75600</v>
      </c>
      <c r="M363">
        <v>60527.16</v>
      </c>
      <c r="N363">
        <v>15072.84</v>
      </c>
    </row>
    <row r="364" spans="1:14" x14ac:dyDescent="0.25">
      <c r="A364" t="s">
        <v>432</v>
      </c>
      <c r="B364">
        <v>45921</v>
      </c>
      <c r="C364" t="s">
        <v>43</v>
      </c>
      <c r="D364" t="s">
        <v>53</v>
      </c>
      <c r="E364" t="s">
        <v>29</v>
      </c>
      <c r="F364" t="s">
        <v>30</v>
      </c>
      <c r="G364" t="s">
        <v>31</v>
      </c>
      <c r="H364" t="s">
        <v>70</v>
      </c>
      <c r="I364">
        <v>1</v>
      </c>
      <c r="J364">
        <v>7000</v>
      </c>
      <c r="K364">
        <v>0.05</v>
      </c>
      <c r="L364">
        <v>6650</v>
      </c>
      <c r="M364">
        <v>4405.01</v>
      </c>
      <c r="N364">
        <v>2244.9899999999998</v>
      </c>
    </row>
    <row r="365" spans="1:14" x14ac:dyDescent="0.25">
      <c r="A365" t="s">
        <v>433</v>
      </c>
      <c r="B365">
        <v>45760</v>
      </c>
      <c r="C365" t="s">
        <v>15</v>
      </c>
      <c r="D365" t="s">
        <v>128</v>
      </c>
      <c r="E365" t="s">
        <v>23</v>
      </c>
      <c r="F365" t="s">
        <v>35</v>
      </c>
      <c r="G365" t="s">
        <v>36</v>
      </c>
      <c r="H365" t="s">
        <v>37</v>
      </c>
      <c r="I365">
        <v>4</v>
      </c>
      <c r="J365">
        <v>26000</v>
      </c>
      <c r="K365">
        <v>0.1</v>
      </c>
      <c r="L365">
        <v>93600</v>
      </c>
      <c r="M365">
        <v>65617.100000000006</v>
      </c>
      <c r="N365">
        <v>27982.9</v>
      </c>
    </row>
    <row r="366" spans="1:14" x14ac:dyDescent="0.25">
      <c r="A366" t="s">
        <v>434</v>
      </c>
      <c r="B366">
        <v>45895</v>
      </c>
      <c r="C366" t="s">
        <v>27</v>
      </c>
      <c r="D366" t="s">
        <v>61</v>
      </c>
      <c r="E366" t="s">
        <v>17</v>
      </c>
      <c r="F366" t="s">
        <v>78</v>
      </c>
      <c r="G366" t="s">
        <v>82</v>
      </c>
      <c r="H366" t="s">
        <v>37</v>
      </c>
      <c r="I366">
        <v>8</v>
      </c>
      <c r="J366">
        <v>450</v>
      </c>
      <c r="K366">
        <v>0.15</v>
      </c>
      <c r="L366">
        <v>3060</v>
      </c>
      <c r="M366">
        <v>2016.75</v>
      </c>
      <c r="N366">
        <v>1043.25</v>
      </c>
    </row>
    <row r="367" spans="1:14" x14ac:dyDescent="0.25">
      <c r="A367" t="s">
        <v>435</v>
      </c>
      <c r="B367">
        <v>45900</v>
      </c>
      <c r="C367" t="s">
        <v>33</v>
      </c>
      <c r="D367" t="s">
        <v>63</v>
      </c>
      <c r="E367" t="s">
        <v>23</v>
      </c>
      <c r="F367" t="s">
        <v>35</v>
      </c>
      <c r="G367" t="s">
        <v>136</v>
      </c>
      <c r="H367" t="s">
        <v>41</v>
      </c>
      <c r="I367">
        <v>2</v>
      </c>
      <c r="J367">
        <v>22000</v>
      </c>
      <c r="K367">
        <v>0.1</v>
      </c>
      <c r="L367">
        <v>39600</v>
      </c>
      <c r="M367">
        <v>24791.15</v>
      </c>
      <c r="N367">
        <v>14808.85</v>
      </c>
    </row>
    <row r="368" spans="1:14" x14ac:dyDescent="0.25">
      <c r="A368" t="s">
        <v>436</v>
      </c>
      <c r="B368">
        <v>45683</v>
      </c>
      <c r="C368" t="s">
        <v>43</v>
      </c>
      <c r="D368" t="s">
        <v>75</v>
      </c>
      <c r="E368" t="s">
        <v>23</v>
      </c>
      <c r="F368" t="s">
        <v>39</v>
      </c>
      <c r="G368" t="s">
        <v>89</v>
      </c>
      <c r="H368" t="s">
        <v>41</v>
      </c>
      <c r="I368">
        <v>4</v>
      </c>
      <c r="J368">
        <v>1200</v>
      </c>
      <c r="K368">
        <v>0.1</v>
      </c>
      <c r="L368">
        <v>4320</v>
      </c>
      <c r="M368">
        <v>3297.67</v>
      </c>
      <c r="N368">
        <v>1022.33</v>
      </c>
    </row>
    <row r="369" spans="1:14" x14ac:dyDescent="0.25">
      <c r="A369" t="s">
        <v>437</v>
      </c>
      <c r="B369">
        <v>45920</v>
      </c>
      <c r="C369" t="s">
        <v>15</v>
      </c>
      <c r="D369" t="s">
        <v>16</v>
      </c>
      <c r="E369" t="s">
        <v>29</v>
      </c>
      <c r="F369" t="s">
        <v>47</v>
      </c>
      <c r="G369" t="s">
        <v>48</v>
      </c>
      <c r="H369" t="s">
        <v>20</v>
      </c>
      <c r="I369">
        <v>1</v>
      </c>
      <c r="J369">
        <v>4200</v>
      </c>
      <c r="K369">
        <v>0.05</v>
      </c>
      <c r="L369">
        <v>3990</v>
      </c>
      <c r="M369">
        <v>2695.35</v>
      </c>
      <c r="N369">
        <v>1294.6500000000001</v>
      </c>
    </row>
    <row r="370" spans="1:14" x14ac:dyDescent="0.25">
      <c r="A370" t="s">
        <v>438</v>
      </c>
      <c r="B370">
        <v>45814</v>
      </c>
      <c r="C370" t="s">
        <v>33</v>
      </c>
      <c r="D370" t="s">
        <v>73</v>
      </c>
      <c r="E370" t="s">
        <v>29</v>
      </c>
      <c r="F370" t="s">
        <v>30</v>
      </c>
      <c r="G370" t="s">
        <v>54</v>
      </c>
      <c r="H370" t="s">
        <v>37</v>
      </c>
      <c r="I370">
        <v>4</v>
      </c>
      <c r="J370">
        <v>12000</v>
      </c>
      <c r="K370">
        <v>0.15</v>
      </c>
      <c r="L370">
        <v>40800</v>
      </c>
      <c r="M370">
        <v>28008.05</v>
      </c>
      <c r="N370">
        <v>12791.95</v>
      </c>
    </row>
    <row r="371" spans="1:14" x14ac:dyDescent="0.25">
      <c r="A371" t="s">
        <v>439</v>
      </c>
      <c r="B371">
        <v>45924</v>
      </c>
      <c r="C371" t="s">
        <v>27</v>
      </c>
      <c r="D371" t="s">
        <v>61</v>
      </c>
      <c r="E371" t="s">
        <v>23</v>
      </c>
      <c r="F371" t="s">
        <v>39</v>
      </c>
      <c r="G371" t="s">
        <v>93</v>
      </c>
      <c r="H371" t="s">
        <v>37</v>
      </c>
      <c r="I371">
        <v>5</v>
      </c>
      <c r="J371">
        <v>2500</v>
      </c>
      <c r="K371">
        <v>0.1</v>
      </c>
      <c r="L371">
        <v>11250</v>
      </c>
      <c r="M371">
        <v>8668.92</v>
      </c>
      <c r="N371">
        <v>2581.08</v>
      </c>
    </row>
    <row r="372" spans="1:14" x14ac:dyDescent="0.25">
      <c r="A372" t="s">
        <v>440</v>
      </c>
      <c r="B372">
        <v>45904</v>
      </c>
      <c r="C372" t="s">
        <v>15</v>
      </c>
      <c r="D372" t="s">
        <v>67</v>
      </c>
      <c r="E372" t="s">
        <v>29</v>
      </c>
      <c r="F372" t="s">
        <v>30</v>
      </c>
      <c r="G372" t="s">
        <v>54</v>
      </c>
      <c r="H372" t="s">
        <v>37</v>
      </c>
      <c r="I372">
        <v>5</v>
      </c>
      <c r="J372">
        <v>12000</v>
      </c>
      <c r="K372">
        <v>0.05</v>
      </c>
      <c r="L372">
        <v>57000</v>
      </c>
      <c r="M372">
        <v>37220.11</v>
      </c>
      <c r="N372">
        <v>19779.89</v>
      </c>
    </row>
    <row r="373" spans="1:14" x14ac:dyDescent="0.25">
      <c r="A373" t="s">
        <v>441</v>
      </c>
      <c r="B373">
        <v>45781</v>
      </c>
      <c r="C373" t="s">
        <v>15</v>
      </c>
      <c r="D373" t="s">
        <v>22</v>
      </c>
      <c r="E373" t="s">
        <v>17</v>
      </c>
      <c r="F373" t="s">
        <v>18</v>
      </c>
      <c r="G373" t="s">
        <v>19</v>
      </c>
      <c r="H373" t="s">
        <v>41</v>
      </c>
      <c r="I373">
        <v>1</v>
      </c>
      <c r="J373">
        <v>8500</v>
      </c>
      <c r="K373">
        <v>0.15</v>
      </c>
      <c r="L373">
        <v>7225</v>
      </c>
      <c r="M373">
        <v>6064.98</v>
      </c>
      <c r="N373">
        <v>1160.02</v>
      </c>
    </row>
    <row r="374" spans="1:14" x14ac:dyDescent="0.25">
      <c r="A374" t="s">
        <v>442</v>
      </c>
      <c r="B374">
        <v>45790</v>
      </c>
      <c r="C374" t="s">
        <v>27</v>
      </c>
      <c r="D374" t="s">
        <v>57</v>
      </c>
      <c r="E374" t="s">
        <v>29</v>
      </c>
      <c r="F374" t="s">
        <v>47</v>
      </c>
      <c r="G374" t="s">
        <v>48</v>
      </c>
      <c r="H374" t="s">
        <v>41</v>
      </c>
      <c r="I374">
        <v>4</v>
      </c>
      <c r="J374">
        <v>4200</v>
      </c>
      <c r="K374">
        <v>0.1</v>
      </c>
      <c r="L374">
        <v>15120</v>
      </c>
      <c r="M374">
        <v>11791.2</v>
      </c>
      <c r="N374">
        <v>3328.8</v>
      </c>
    </row>
    <row r="375" spans="1:14" x14ac:dyDescent="0.25">
      <c r="A375" t="s">
        <v>443</v>
      </c>
      <c r="B375">
        <v>45771</v>
      </c>
      <c r="C375" t="s">
        <v>27</v>
      </c>
      <c r="D375" t="s">
        <v>118</v>
      </c>
      <c r="E375" t="s">
        <v>17</v>
      </c>
      <c r="F375" t="s">
        <v>18</v>
      </c>
      <c r="G375" t="s">
        <v>19</v>
      </c>
      <c r="H375" t="s">
        <v>41</v>
      </c>
      <c r="I375">
        <v>3</v>
      </c>
      <c r="J375">
        <v>8500</v>
      </c>
      <c r="K375">
        <v>0.1</v>
      </c>
      <c r="L375">
        <v>22950</v>
      </c>
      <c r="M375">
        <v>14721.8</v>
      </c>
      <c r="N375">
        <v>8228.2000000000007</v>
      </c>
    </row>
    <row r="376" spans="1:14" x14ac:dyDescent="0.25">
      <c r="A376" t="s">
        <v>444</v>
      </c>
      <c r="B376">
        <v>45723</v>
      </c>
      <c r="C376" t="s">
        <v>33</v>
      </c>
      <c r="D376" t="s">
        <v>59</v>
      </c>
      <c r="E376" t="s">
        <v>17</v>
      </c>
      <c r="F376" t="s">
        <v>18</v>
      </c>
      <c r="G376" t="s">
        <v>19</v>
      </c>
      <c r="H376" t="s">
        <v>20</v>
      </c>
      <c r="I376">
        <v>6</v>
      </c>
      <c r="J376">
        <v>8500</v>
      </c>
      <c r="K376">
        <v>0.05</v>
      </c>
      <c r="L376">
        <v>48450</v>
      </c>
      <c r="M376">
        <v>37971.53</v>
      </c>
      <c r="N376">
        <v>10478.469999999999</v>
      </c>
    </row>
    <row r="377" spans="1:14" x14ac:dyDescent="0.25">
      <c r="A377" t="s">
        <v>445</v>
      </c>
      <c r="B377">
        <v>45815</v>
      </c>
      <c r="C377" t="s">
        <v>27</v>
      </c>
      <c r="D377" t="s">
        <v>118</v>
      </c>
      <c r="E377" t="s">
        <v>29</v>
      </c>
      <c r="F377" t="s">
        <v>30</v>
      </c>
      <c r="G377" t="s">
        <v>51</v>
      </c>
      <c r="H377" t="s">
        <v>37</v>
      </c>
      <c r="I377">
        <v>8</v>
      </c>
      <c r="J377">
        <v>25000</v>
      </c>
      <c r="K377">
        <v>0</v>
      </c>
      <c r="L377">
        <v>200000</v>
      </c>
      <c r="M377">
        <v>144703.60999999999</v>
      </c>
      <c r="N377">
        <v>55296.39</v>
      </c>
    </row>
    <row r="378" spans="1:14" x14ac:dyDescent="0.25">
      <c r="A378" t="s">
        <v>446</v>
      </c>
      <c r="B378">
        <v>45982</v>
      </c>
      <c r="C378" t="s">
        <v>15</v>
      </c>
      <c r="D378" t="s">
        <v>22</v>
      </c>
      <c r="E378" t="s">
        <v>23</v>
      </c>
      <c r="F378" t="s">
        <v>39</v>
      </c>
      <c r="G378" t="s">
        <v>89</v>
      </c>
      <c r="H378" t="s">
        <v>41</v>
      </c>
      <c r="I378">
        <v>7</v>
      </c>
      <c r="J378">
        <v>1200</v>
      </c>
      <c r="K378">
        <v>0.1</v>
      </c>
      <c r="L378">
        <v>7560</v>
      </c>
      <c r="M378">
        <v>5374.28</v>
      </c>
      <c r="N378">
        <v>2185.7199999999998</v>
      </c>
    </row>
    <row r="379" spans="1:14" x14ac:dyDescent="0.25">
      <c r="A379" t="s">
        <v>447</v>
      </c>
      <c r="B379">
        <v>45735</v>
      </c>
      <c r="C379" t="s">
        <v>43</v>
      </c>
      <c r="D379" t="s">
        <v>75</v>
      </c>
      <c r="E379" t="s">
        <v>29</v>
      </c>
      <c r="F379" t="s">
        <v>30</v>
      </c>
      <c r="G379" t="s">
        <v>51</v>
      </c>
      <c r="H379" t="s">
        <v>45</v>
      </c>
      <c r="I379">
        <v>3</v>
      </c>
      <c r="J379">
        <v>25000</v>
      </c>
      <c r="K379">
        <v>0.1</v>
      </c>
      <c r="L379">
        <v>67500</v>
      </c>
      <c r="M379">
        <v>54656.55</v>
      </c>
      <c r="N379">
        <v>12843.45</v>
      </c>
    </row>
    <row r="380" spans="1:14" x14ac:dyDescent="0.25">
      <c r="A380" t="s">
        <v>448</v>
      </c>
      <c r="B380">
        <v>45750</v>
      </c>
      <c r="C380" t="s">
        <v>15</v>
      </c>
      <c r="D380" t="s">
        <v>22</v>
      </c>
      <c r="E380" t="s">
        <v>29</v>
      </c>
      <c r="F380" t="s">
        <v>47</v>
      </c>
      <c r="G380" t="s">
        <v>84</v>
      </c>
      <c r="H380" t="s">
        <v>41</v>
      </c>
      <c r="I380">
        <v>1</v>
      </c>
      <c r="J380">
        <v>10500</v>
      </c>
      <c r="K380">
        <v>0</v>
      </c>
      <c r="L380">
        <v>10500</v>
      </c>
      <c r="M380">
        <v>7554.24</v>
      </c>
      <c r="N380">
        <v>2945.76</v>
      </c>
    </row>
    <row r="381" spans="1:14" x14ac:dyDescent="0.25">
      <c r="A381" t="s">
        <v>449</v>
      </c>
      <c r="B381">
        <v>45765</v>
      </c>
      <c r="C381" t="s">
        <v>43</v>
      </c>
      <c r="D381" t="s">
        <v>75</v>
      </c>
      <c r="E381" t="s">
        <v>29</v>
      </c>
      <c r="F381" t="s">
        <v>47</v>
      </c>
      <c r="G381" t="s">
        <v>68</v>
      </c>
      <c r="H381" t="s">
        <v>70</v>
      </c>
      <c r="I381">
        <v>7</v>
      </c>
      <c r="J381">
        <v>6500</v>
      </c>
      <c r="K381">
        <v>0.15</v>
      </c>
      <c r="L381">
        <v>38675</v>
      </c>
      <c r="M381">
        <v>27410.77</v>
      </c>
      <c r="N381">
        <v>11264.23</v>
      </c>
    </row>
    <row r="382" spans="1:14" x14ac:dyDescent="0.25">
      <c r="A382" t="s">
        <v>450</v>
      </c>
      <c r="B382">
        <v>45902</v>
      </c>
      <c r="C382" t="s">
        <v>27</v>
      </c>
      <c r="D382" t="s">
        <v>61</v>
      </c>
      <c r="E382" t="s">
        <v>23</v>
      </c>
      <c r="F382" t="s">
        <v>39</v>
      </c>
      <c r="G382" t="s">
        <v>89</v>
      </c>
      <c r="H382" t="s">
        <v>41</v>
      </c>
      <c r="I382">
        <v>6</v>
      </c>
      <c r="J382">
        <v>1200</v>
      </c>
      <c r="K382">
        <v>0</v>
      </c>
      <c r="L382">
        <v>7200</v>
      </c>
      <c r="M382">
        <v>5876.94</v>
      </c>
      <c r="N382">
        <v>1323.06</v>
      </c>
    </row>
    <row r="383" spans="1:14" x14ac:dyDescent="0.25">
      <c r="A383" t="s">
        <v>451</v>
      </c>
      <c r="B383">
        <v>45929</v>
      </c>
      <c r="C383" t="s">
        <v>43</v>
      </c>
      <c r="D383" t="s">
        <v>53</v>
      </c>
      <c r="E383" t="s">
        <v>17</v>
      </c>
      <c r="F383" t="s">
        <v>78</v>
      </c>
      <c r="G383" t="s">
        <v>91</v>
      </c>
      <c r="H383" t="s">
        <v>41</v>
      </c>
      <c r="I383">
        <v>4</v>
      </c>
      <c r="J383">
        <v>180</v>
      </c>
      <c r="K383">
        <v>0.05</v>
      </c>
      <c r="L383">
        <v>684</v>
      </c>
      <c r="M383">
        <v>528.44000000000005</v>
      </c>
      <c r="N383">
        <v>155.56</v>
      </c>
    </row>
    <row r="384" spans="1:14" x14ac:dyDescent="0.25">
      <c r="A384" t="s">
        <v>452</v>
      </c>
      <c r="B384">
        <v>45834</v>
      </c>
      <c r="C384" t="s">
        <v>33</v>
      </c>
      <c r="D384" t="s">
        <v>59</v>
      </c>
      <c r="E384" t="s">
        <v>23</v>
      </c>
      <c r="F384" t="s">
        <v>35</v>
      </c>
      <c r="G384" t="s">
        <v>136</v>
      </c>
      <c r="H384" t="s">
        <v>70</v>
      </c>
      <c r="I384">
        <v>5</v>
      </c>
      <c r="J384">
        <v>22000</v>
      </c>
      <c r="K384">
        <v>0.05</v>
      </c>
      <c r="L384">
        <v>104500</v>
      </c>
      <c r="M384">
        <v>66290.95</v>
      </c>
      <c r="N384">
        <v>38209.050000000003</v>
      </c>
    </row>
    <row r="385" spans="1:14" x14ac:dyDescent="0.25">
      <c r="A385" t="s">
        <v>453</v>
      </c>
      <c r="B385">
        <v>45681</v>
      </c>
      <c r="C385" t="s">
        <v>33</v>
      </c>
      <c r="D385" t="s">
        <v>63</v>
      </c>
      <c r="E385" t="s">
        <v>29</v>
      </c>
      <c r="F385" t="s">
        <v>30</v>
      </c>
      <c r="G385" t="s">
        <v>54</v>
      </c>
      <c r="H385" t="s">
        <v>41</v>
      </c>
      <c r="I385">
        <v>3</v>
      </c>
      <c r="J385">
        <v>12000</v>
      </c>
      <c r="K385">
        <v>0.1</v>
      </c>
      <c r="L385">
        <v>32400</v>
      </c>
      <c r="M385">
        <v>27188.48</v>
      </c>
      <c r="N385">
        <v>5211.5200000000004</v>
      </c>
    </row>
    <row r="386" spans="1:14" x14ac:dyDescent="0.25">
      <c r="A386" t="s">
        <v>454</v>
      </c>
      <c r="B386">
        <v>45908</v>
      </c>
      <c r="C386" t="s">
        <v>33</v>
      </c>
      <c r="D386" t="s">
        <v>59</v>
      </c>
      <c r="E386" t="s">
        <v>23</v>
      </c>
      <c r="F386" t="s">
        <v>35</v>
      </c>
      <c r="G386" t="s">
        <v>36</v>
      </c>
      <c r="H386" t="s">
        <v>20</v>
      </c>
      <c r="I386">
        <v>4</v>
      </c>
      <c r="J386">
        <v>26000</v>
      </c>
      <c r="K386">
        <v>0.05</v>
      </c>
      <c r="L386">
        <v>98800</v>
      </c>
      <c r="M386">
        <v>65846.429999999993</v>
      </c>
      <c r="N386">
        <v>32953.57</v>
      </c>
    </row>
    <row r="387" spans="1:14" x14ac:dyDescent="0.25">
      <c r="A387" t="s">
        <v>455</v>
      </c>
      <c r="B387">
        <v>45669</v>
      </c>
      <c r="C387" t="s">
        <v>43</v>
      </c>
      <c r="D387" t="s">
        <v>53</v>
      </c>
      <c r="E387" t="s">
        <v>29</v>
      </c>
      <c r="F387" t="s">
        <v>47</v>
      </c>
      <c r="G387" t="s">
        <v>84</v>
      </c>
      <c r="H387" t="s">
        <v>41</v>
      </c>
      <c r="I387">
        <v>5</v>
      </c>
      <c r="J387">
        <v>10500</v>
      </c>
      <c r="K387">
        <v>0</v>
      </c>
      <c r="L387">
        <v>52500</v>
      </c>
      <c r="M387">
        <v>39409.82</v>
      </c>
      <c r="N387">
        <v>13090.18</v>
      </c>
    </row>
    <row r="388" spans="1:14" x14ac:dyDescent="0.25">
      <c r="A388" t="s">
        <v>456</v>
      </c>
      <c r="B388">
        <v>45682</v>
      </c>
      <c r="C388" t="s">
        <v>15</v>
      </c>
      <c r="D388" t="s">
        <v>16</v>
      </c>
      <c r="E388" t="s">
        <v>23</v>
      </c>
      <c r="F388" t="s">
        <v>39</v>
      </c>
      <c r="G388" t="s">
        <v>89</v>
      </c>
      <c r="H388" t="s">
        <v>45</v>
      </c>
      <c r="I388">
        <v>8</v>
      </c>
      <c r="J388">
        <v>1200</v>
      </c>
      <c r="K388">
        <v>0.15</v>
      </c>
      <c r="L388">
        <v>8160</v>
      </c>
      <c r="M388">
        <v>5281.08</v>
      </c>
      <c r="N388">
        <v>2878.92</v>
      </c>
    </row>
    <row r="389" spans="1:14" x14ac:dyDescent="0.25">
      <c r="A389" t="s">
        <v>457</v>
      </c>
      <c r="B389">
        <v>45787</v>
      </c>
      <c r="C389" t="s">
        <v>27</v>
      </c>
      <c r="D389" t="s">
        <v>28</v>
      </c>
      <c r="E389" t="s">
        <v>23</v>
      </c>
      <c r="F389" t="s">
        <v>39</v>
      </c>
      <c r="G389" t="s">
        <v>93</v>
      </c>
      <c r="H389" t="s">
        <v>41</v>
      </c>
      <c r="I389">
        <v>1</v>
      </c>
      <c r="J389">
        <v>2500</v>
      </c>
      <c r="K389">
        <v>0.1</v>
      </c>
      <c r="L389">
        <v>2250</v>
      </c>
      <c r="M389">
        <v>1603.33</v>
      </c>
      <c r="N389">
        <v>646.66999999999996</v>
      </c>
    </row>
    <row r="390" spans="1:14" x14ac:dyDescent="0.25">
      <c r="A390" t="s">
        <v>458</v>
      </c>
      <c r="B390">
        <v>45709</v>
      </c>
      <c r="C390" t="s">
        <v>33</v>
      </c>
      <c r="D390" t="s">
        <v>59</v>
      </c>
      <c r="E390" t="s">
        <v>29</v>
      </c>
      <c r="F390" t="s">
        <v>47</v>
      </c>
      <c r="G390" t="s">
        <v>48</v>
      </c>
      <c r="H390" t="s">
        <v>41</v>
      </c>
      <c r="I390">
        <v>2</v>
      </c>
      <c r="J390">
        <v>4200</v>
      </c>
      <c r="K390">
        <v>0.1</v>
      </c>
      <c r="L390">
        <v>7560</v>
      </c>
      <c r="M390">
        <v>4876.83</v>
      </c>
      <c r="N390">
        <v>2683.17</v>
      </c>
    </row>
    <row r="391" spans="1:14" x14ac:dyDescent="0.25">
      <c r="A391" t="s">
        <v>459</v>
      </c>
      <c r="B391">
        <v>45712</v>
      </c>
      <c r="C391" t="s">
        <v>27</v>
      </c>
      <c r="D391" t="s">
        <v>28</v>
      </c>
      <c r="E391" t="s">
        <v>17</v>
      </c>
      <c r="F391" t="s">
        <v>78</v>
      </c>
      <c r="G391" t="s">
        <v>79</v>
      </c>
      <c r="H391" t="s">
        <v>70</v>
      </c>
      <c r="I391">
        <v>4</v>
      </c>
      <c r="J391">
        <v>250</v>
      </c>
      <c r="K391">
        <v>0.1</v>
      </c>
      <c r="L391">
        <v>900</v>
      </c>
      <c r="M391">
        <v>697.28</v>
      </c>
      <c r="N391">
        <v>202.72</v>
      </c>
    </row>
    <row r="392" spans="1:14" x14ac:dyDescent="0.25">
      <c r="A392" t="s">
        <v>460</v>
      </c>
      <c r="B392">
        <v>45809</v>
      </c>
      <c r="C392" t="s">
        <v>43</v>
      </c>
      <c r="D392" t="s">
        <v>53</v>
      </c>
      <c r="E392" t="s">
        <v>17</v>
      </c>
      <c r="F392" t="s">
        <v>18</v>
      </c>
      <c r="G392" t="s">
        <v>19</v>
      </c>
      <c r="H392" t="s">
        <v>41</v>
      </c>
      <c r="I392">
        <v>8</v>
      </c>
      <c r="J392">
        <v>8500</v>
      </c>
      <c r="K392">
        <v>0.1</v>
      </c>
      <c r="L392">
        <v>61200</v>
      </c>
      <c r="M392">
        <v>41101.379999999997</v>
      </c>
      <c r="N392">
        <v>20098.62</v>
      </c>
    </row>
    <row r="393" spans="1:14" x14ac:dyDescent="0.25">
      <c r="A393" t="s">
        <v>461</v>
      </c>
      <c r="B393">
        <v>45664</v>
      </c>
      <c r="C393" t="s">
        <v>15</v>
      </c>
      <c r="D393" t="s">
        <v>16</v>
      </c>
      <c r="E393" t="s">
        <v>17</v>
      </c>
      <c r="F393" t="s">
        <v>18</v>
      </c>
      <c r="G393" t="s">
        <v>19</v>
      </c>
      <c r="H393" t="s">
        <v>55</v>
      </c>
      <c r="I393">
        <v>2</v>
      </c>
      <c r="J393">
        <v>8500</v>
      </c>
      <c r="K393">
        <v>0</v>
      </c>
      <c r="L393">
        <v>17000</v>
      </c>
      <c r="M393">
        <v>13923.87</v>
      </c>
      <c r="N393">
        <v>3076.13</v>
      </c>
    </row>
    <row r="394" spans="1:14" x14ac:dyDescent="0.25">
      <c r="A394" t="s">
        <v>462</v>
      </c>
      <c r="B394">
        <v>45987</v>
      </c>
      <c r="C394" t="s">
        <v>43</v>
      </c>
      <c r="D394" t="s">
        <v>50</v>
      </c>
      <c r="E394" t="s">
        <v>29</v>
      </c>
      <c r="F394" t="s">
        <v>30</v>
      </c>
      <c r="G394" t="s">
        <v>54</v>
      </c>
      <c r="H394" t="s">
        <v>55</v>
      </c>
      <c r="I394">
        <v>2</v>
      </c>
      <c r="J394">
        <v>12000</v>
      </c>
      <c r="K394">
        <v>0.05</v>
      </c>
      <c r="L394">
        <v>22800</v>
      </c>
      <c r="M394">
        <v>18520.689999999999</v>
      </c>
      <c r="N394">
        <v>4279.3100000000004</v>
      </c>
    </row>
    <row r="395" spans="1:14" x14ac:dyDescent="0.25">
      <c r="A395" t="s">
        <v>463</v>
      </c>
      <c r="B395">
        <v>45806</v>
      </c>
      <c r="C395" t="s">
        <v>33</v>
      </c>
      <c r="D395" t="s">
        <v>63</v>
      </c>
      <c r="E395" t="s">
        <v>29</v>
      </c>
      <c r="F395" t="s">
        <v>47</v>
      </c>
      <c r="G395" t="s">
        <v>68</v>
      </c>
      <c r="H395" t="s">
        <v>55</v>
      </c>
      <c r="I395">
        <v>1</v>
      </c>
      <c r="J395">
        <v>6500</v>
      </c>
      <c r="K395">
        <v>0.05</v>
      </c>
      <c r="L395">
        <v>6175</v>
      </c>
      <c r="M395">
        <v>4729.67</v>
      </c>
      <c r="N395">
        <v>1445.33</v>
      </c>
    </row>
    <row r="396" spans="1:14" x14ac:dyDescent="0.25">
      <c r="A396" t="s">
        <v>464</v>
      </c>
      <c r="B396">
        <v>45745</v>
      </c>
      <c r="C396" t="s">
        <v>33</v>
      </c>
      <c r="D396" t="s">
        <v>63</v>
      </c>
      <c r="E396" t="s">
        <v>29</v>
      </c>
      <c r="F396" t="s">
        <v>30</v>
      </c>
      <c r="G396" t="s">
        <v>51</v>
      </c>
      <c r="H396" t="s">
        <v>55</v>
      </c>
      <c r="I396">
        <v>6</v>
      </c>
      <c r="J396">
        <v>25000</v>
      </c>
      <c r="K396">
        <v>0.1</v>
      </c>
      <c r="L396">
        <v>135000</v>
      </c>
      <c r="M396">
        <v>89131.22</v>
      </c>
      <c r="N396">
        <v>45868.78</v>
      </c>
    </row>
    <row r="397" spans="1:14" x14ac:dyDescent="0.25">
      <c r="A397" t="s">
        <v>465</v>
      </c>
      <c r="B397">
        <v>45863</v>
      </c>
      <c r="C397" t="s">
        <v>27</v>
      </c>
      <c r="D397" t="s">
        <v>57</v>
      </c>
      <c r="E397" t="s">
        <v>29</v>
      </c>
      <c r="F397" t="s">
        <v>30</v>
      </c>
      <c r="G397" t="s">
        <v>51</v>
      </c>
      <c r="H397" t="s">
        <v>45</v>
      </c>
      <c r="I397">
        <v>7</v>
      </c>
      <c r="J397">
        <v>25000</v>
      </c>
      <c r="K397">
        <v>0.05</v>
      </c>
      <c r="L397">
        <v>166250</v>
      </c>
      <c r="M397">
        <v>107210.04</v>
      </c>
      <c r="N397">
        <v>59039.96</v>
      </c>
    </row>
    <row r="398" spans="1:14" x14ac:dyDescent="0.25">
      <c r="A398" t="s">
        <v>466</v>
      </c>
      <c r="B398">
        <v>46014</v>
      </c>
      <c r="C398" t="s">
        <v>15</v>
      </c>
      <c r="D398" t="s">
        <v>128</v>
      </c>
      <c r="E398" t="s">
        <v>23</v>
      </c>
      <c r="F398" t="s">
        <v>35</v>
      </c>
      <c r="G398" t="s">
        <v>136</v>
      </c>
      <c r="H398" t="s">
        <v>45</v>
      </c>
      <c r="I398">
        <v>8</v>
      </c>
      <c r="J398">
        <v>22000</v>
      </c>
      <c r="K398">
        <v>0.05</v>
      </c>
      <c r="L398">
        <v>167200</v>
      </c>
      <c r="M398">
        <v>126150.91</v>
      </c>
      <c r="N398">
        <v>41049.089999999997</v>
      </c>
    </row>
    <row r="399" spans="1:14" x14ac:dyDescent="0.25">
      <c r="A399" t="s">
        <v>467</v>
      </c>
      <c r="B399">
        <v>45841</v>
      </c>
      <c r="C399" t="s">
        <v>15</v>
      </c>
      <c r="D399" t="s">
        <v>128</v>
      </c>
      <c r="E399" t="s">
        <v>29</v>
      </c>
      <c r="F399" t="s">
        <v>30</v>
      </c>
      <c r="G399" t="s">
        <v>31</v>
      </c>
      <c r="H399" t="s">
        <v>45</v>
      </c>
      <c r="I399">
        <v>8</v>
      </c>
      <c r="J399">
        <v>7000</v>
      </c>
      <c r="K399">
        <v>0</v>
      </c>
      <c r="L399">
        <v>56000</v>
      </c>
      <c r="M399">
        <v>35500.300000000003</v>
      </c>
      <c r="N399">
        <v>20499.7</v>
      </c>
    </row>
    <row r="400" spans="1:14" x14ac:dyDescent="0.25">
      <c r="A400" t="s">
        <v>468</v>
      </c>
      <c r="B400">
        <v>45993</v>
      </c>
      <c r="C400" t="s">
        <v>33</v>
      </c>
      <c r="D400" t="s">
        <v>34</v>
      </c>
      <c r="E400" t="s">
        <v>17</v>
      </c>
      <c r="F400" t="s">
        <v>78</v>
      </c>
      <c r="G400" t="s">
        <v>91</v>
      </c>
      <c r="H400" t="s">
        <v>37</v>
      </c>
      <c r="I400">
        <v>2</v>
      </c>
      <c r="J400">
        <v>180</v>
      </c>
      <c r="K400">
        <v>0.15</v>
      </c>
      <c r="L400">
        <v>306</v>
      </c>
      <c r="M400">
        <v>234.27</v>
      </c>
      <c r="N400">
        <v>71.73</v>
      </c>
    </row>
    <row r="401" spans="1:14" x14ac:dyDescent="0.25">
      <c r="A401" t="s">
        <v>469</v>
      </c>
      <c r="B401">
        <v>45785</v>
      </c>
      <c r="C401" t="s">
        <v>27</v>
      </c>
      <c r="D401" t="s">
        <v>118</v>
      </c>
      <c r="E401" t="s">
        <v>17</v>
      </c>
      <c r="F401" t="s">
        <v>18</v>
      </c>
      <c r="G401" t="s">
        <v>19</v>
      </c>
      <c r="H401" t="s">
        <v>70</v>
      </c>
      <c r="I401">
        <v>1</v>
      </c>
      <c r="J401">
        <v>8500</v>
      </c>
      <c r="K401">
        <v>0</v>
      </c>
      <c r="L401">
        <v>8500</v>
      </c>
      <c r="M401">
        <v>6473.16</v>
      </c>
      <c r="N401">
        <v>2026.84</v>
      </c>
    </row>
    <row r="402" spans="1:14" x14ac:dyDescent="0.25">
      <c r="A402" t="s">
        <v>470</v>
      </c>
      <c r="B402">
        <v>45738</v>
      </c>
      <c r="C402" t="s">
        <v>27</v>
      </c>
      <c r="D402" t="s">
        <v>57</v>
      </c>
      <c r="E402" t="s">
        <v>23</v>
      </c>
      <c r="F402" t="s">
        <v>24</v>
      </c>
      <c r="G402" t="s">
        <v>129</v>
      </c>
      <c r="H402" t="s">
        <v>37</v>
      </c>
      <c r="I402">
        <v>4</v>
      </c>
      <c r="J402">
        <v>58000</v>
      </c>
      <c r="K402">
        <v>0.1</v>
      </c>
      <c r="L402">
        <v>208800</v>
      </c>
      <c r="M402">
        <v>174020.58</v>
      </c>
      <c r="N402">
        <v>34779.42</v>
      </c>
    </row>
    <row r="403" spans="1:14" x14ac:dyDescent="0.25">
      <c r="A403" t="s">
        <v>471</v>
      </c>
      <c r="B403">
        <v>45683</v>
      </c>
      <c r="C403" t="s">
        <v>43</v>
      </c>
      <c r="D403" t="s">
        <v>50</v>
      </c>
      <c r="E403" t="s">
        <v>29</v>
      </c>
      <c r="F403" t="s">
        <v>47</v>
      </c>
      <c r="G403" t="s">
        <v>68</v>
      </c>
      <c r="H403" t="s">
        <v>45</v>
      </c>
      <c r="I403">
        <v>8</v>
      </c>
      <c r="J403">
        <v>6500</v>
      </c>
      <c r="K403">
        <v>0.15</v>
      </c>
      <c r="L403">
        <v>44200</v>
      </c>
      <c r="M403">
        <v>28259.91</v>
      </c>
      <c r="N403">
        <v>15940.09</v>
      </c>
    </row>
    <row r="404" spans="1:14" x14ac:dyDescent="0.25">
      <c r="A404" t="s">
        <v>472</v>
      </c>
      <c r="B404">
        <v>45913</v>
      </c>
      <c r="C404" t="s">
        <v>27</v>
      </c>
      <c r="D404" t="s">
        <v>118</v>
      </c>
      <c r="E404" t="s">
        <v>23</v>
      </c>
      <c r="F404" t="s">
        <v>35</v>
      </c>
      <c r="G404" t="s">
        <v>136</v>
      </c>
      <c r="H404" t="s">
        <v>41</v>
      </c>
      <c r="I404">
        <v>1</v>
      </c>
      <c r="J404">
        <v>22000</v>
      </c>
      <c r="K404">
        <v>0</v>
      </c>
      <c r="L404">
        <v>22000</v>
      </c>
      <c r="M404">
        <v>15592.65</v>
      </c>
      <c r="N404">
        <v>6407.35</v>
      </c>
    </row>
    <row r="405" spans="1:14" x14ac:dyDescent="0.25">
      <c r="A405" t="s">
        <v>473</v>
      </c>
      <c r="B405">
        <v>45676</v>
      </c>
      <c r="C405" t="s">
        <v>15</v>
      </c>
      <c r="D405" t="s">
        <v>16</v>
      </c>
      <c r="E405" t="s">
        <v>17</v>
      </c>
      <c r="F405" t="s">
        <v>18</v>
      </c>
      <c r="G405" t="s">
        <v>19</v>
      </c>
      <c r="H405" t="s">
        <v>41</v>
      </c>
      <c r="I405">
        <v>8</v>
      </c>
      <c r="J405">
        <v>8500</v>
      </c>
      <c r="K405">
        <v>0.1</v>
      </c>
      <c r="L405">
        <v>61200</v>
      </c>
      <c r="M405">
        <v>42836.04</v>
      </c>
      <c r="N405">
        <v>18363.96</v>
      </c>
    </row>
    <row r="406" spans="1:14" x14ac:dyDescent="0.25">
      <c r="A406" t="s">
        <v>474</v>
      </c>
      <c r="B406">
        <v>45685</v>
      </c>
      <c r="C406" t="s">
        <v>43</v>
      </c>
      <c r="D406" t="s">
        <v>50</v>
      </c>
      <c r="E406" t="s">
        <v>29</v>
      </c>
      <c r="F406" t="s">
        <v>30</v>
      </c>
      <c r="G406" t="s">
        <v>51</v>
      </c>
      <c r="H406" t="s">
        <v>41</v>
      </c>
      <c r="I406">
        <v>6</v>
      </c>
      <c r="J406">
        <v>25000</v>
      </c>
      <c r="K406">
        <v>0.15</v>
      </c>
      <c r="L406">
        <v>127500</v>
      </c>
      <c r="M406">
        <v>82248.36</v>
      </c>
      <c r="N406">
        <v>45251.64</v>
      </c>
    </row>
    <row r="407" spans="1:14" x14ac:dyDescent="0.25">
      <c r="A407" t="s">
        <v>475</v>
      </c>
      <c r="B407">
        <v>45995</v>
      </c>
      <c r="C407" t="s">
        <v>43</v>
      </c>
      <c r="D407" t="s">
        <v>53</v>
      </c>
      <c r="E407" t="s">
        <v>29</v>
      </c>
      <c r="F407" t="s">
        <v>30</v>
      </c>
      <c r="G407" t="s">
        <v>51</v>
      </c>
      <c r="H407" t="s">
        <v>37</v>
      </c>
      <c r="I407">
        <v>6</v>
      </c>
      <c r="J407">
        <v>25000</v>
      </c>
      <c r="K407">
        <v>0</v>
      </c>
      <c r="L407">
        <v>150000</v>
      </c>
      <c r="M407">
        <v>94510.68</v>
      </c>
      <c r="N407">
        <v>55489.32</v>
      </c>
    </row>
    <row r="408" spans="1:14" x14ac:dyDescent="0.25">
      <c r="A408" t="s">
        <v>476</v>
      </c>
      <c r="B408">
        <v>45742</v>
      </c>
      <c r="C408" t="s">
        <v>27</v>
      </c>
      <c r="D408" t="s">
        <v>28</v>
      </c>
      <c r="E408" t="s">
        <v>17</v>
      </c>
      <c r="F408" t="s">
        <v>18</v>
      </c>
      <c r="G408" t="s">
        <v>19</v>
      </c>
      <c r="H408" t="s">
        <v>37</v>
      </c>
      <c r="I408">
        <v>4</v>
      </c>
      <c r="J408">
        <v>8500</v>
      </c>
      <c r="K408">
        <v>0.05</v>
      </c>
      <c r="L408">
        <v>32300</v>
      </c>
      <c r="M408">
        <v>20884.02</v>
      </c>
      <c r="N408">
        <v>11415.98</v>
      </c>
    </row>
    <row r="409" spans="1:14" x14ac:dyDescent="0.25">
      <c r="A409" t="s">
        <v>477</v>
      </c>
      <c r="B409">
        <v>45859</v>
      </c>
      <c r="C409" t="s">
        <v>43</v>
      </c>
      <c r="D409" t="s">
        <v>50</v>
      </c>
      <c r="E409" t="s">
        <v>23</v>
      </c>
      <c r="F409" t="s">
        <v>39</v>
      </c>
      <c r="G409" t="s">
        <v>40</v>
      </c>
      <c r="H409" t="s">
        <v>55</v>
      </c>
      <c r="I409">
        <v>7</v>
      </c>
      <c r="J409">
        <v>1800</v>
      </c>
      <c r="K409">
        <v>0</v>
      </c>
      <c r="L409">
        <v>12600</v>
      </c>
      <c r="M409">
        <v>10380.61</v>
      </c>
      <c r="N409">
        <v>2219.39</v>
      </c>
    </row>
    <row r="410" spans="1:14" x14ac:dyDescent="0.25">
      <c r="A410" t="s">
        <v>478</v>
      </c>
      <c r="B410">
        <v>46002</v>
      </c>
      <c r="C410" t="s">
        <v>15</v>
      </c>
      <c r="D410" t="s">
        <v>22</v>
      </c>
      <c r="E410" t="s">
        <v>29</v>
      </c>
      <c r="F410" t="s">
        <v>47</v>
      </c>
      <c r="G410" t="s">
        <v>84</v>
      </c>
      <c r="H410" t="s">
        <v>55</v>
      </c>
      <c r="I410">
        <v>1</v>
      </c>
      <c r="J410">
        <v>10500</v>
      </c>
      <c r="K410">
        <v>0.15</v>
      </c>
      <c r="L410">
        <v>8925</v>
      </c>
      <c r="M410">
        <v>7180.52</v>
      </c>
      <c r="N410">
        <v>1744.48</v>
      </c>
    </row>
    <row r="411" spans="1:14" x14ac:dyDescent="0.25">
      <c r="A411" t="s">
        <v>479</v>
      </c>
      <c r="B411">
        <v>45905</v>
      </c>
      <c r="C411" t="s">
        <v>43</v>
      </c>
      <c r="D411" t="s">
        <v>75</v>
      </c>
      <c r="E411" t="s">
        <v>17</v>
      </c>
      <c r="F411" t="s">
        <v>78</v>
      </c>
      <c r="G411" t="s">
        <v>82</v>
      </c>
      <c r="H411" t="s">
        <v>45</v>
      </c>
      <c r="I411">
        <v>6</v>
      </c>
      <c r="J411">
        <v>450</v>
      </c>
      <c r="K411">
        <v>0.15</v>
      </c>
      <c r="L411">
        <v>2295</v>
      </c>
      <c r="M411">
        <v>1634.28</v>
      </c>
      <c r="N411">
        <v>660.72</v>
      </c>
    </row>
    <row r="412" spans="1:14" x14ac:dyDescent="0.25">
      <c r="A412" t="s">
        <v>480</v>
      </c>
      <c r="B412">
        <v>45969</v>
      </c>
      <c r="C412" t="s">
        <v>43</v>
      </c>
      <c r="D412" t="s">
        <v>44</v>
      </c>
      <c r="E412" t="s">
        <v>29</v>
      </c>
      <c r="F412" t="s">
        <v>30</v>
      </c>
      <c r="G412" t="s">
        <v>54</v>
      </c>
      <c r="H412" t="s">
        <v>45</v>
      </c>
      <c r="I412">
        <v>3</v>
      </c>
      <c r="J412">
        <v>12000</v>
      </c>
      <c r="K412">
        <v>0.05</v>
      </c>
      <c r="L412">
        <v>34200</v>
      </c>
      <c r="M412">
        <v>24309.5</v>
      </c>
      <c r="N412">
        <v>9890.5</v>
      </c>
    </row>
    <row r="413" spans="1:14" x14ac:dyDescent="0.25">
      <c r="A413" t="s">
        <v>481</v>
      </c>
      <c r="B413">
        <v>46016</v>
      </c>
      <c r="C413" t="s">
        <v>33</v>
      </c>
      <c r="D413" t="s">
        <v>63</v>
      </c>
      <c r="E413" t="s">
        <v>17</v>
      </c>
      <c r="F413" t="s">
        <v>78</v>
      </c>
      <c r="G413" t="s">
        <v>82</v>
      </c>
      <c r="H413" t="s">
        <v>20</v>
      </c>
      <c r="I413">
        <v>5</v>
      </c>
      <c r="J413">
        <v>450</v>
      </c>
      <c r="K413">
        <v>0.1</v>
      </c>
      <c r="L413">
        <v>2025</v>
      </c>
      <c r="M413">
        <v>1665.89</v>
      </c>
      <c r="N413">
        <v>359.11</v>
      </c>
    </row>
    <row r="414" spans="1:14" x14ac:dyDescent="0.25">
      <c r="A414" t="s">
        <v>482</v>
      </c>
      <c r="B414">
        <v>45725</v>
      </c>
      <c r="C414" t="s">
        <v>43</v>
      </c>
      <c r="D414" t="s">
        <v>44</v>
      </c>
      <c r="E414" t="s">
        <v>17</v>
      </c>
      <c r="F414" t="s">
        <v>78</v>
      </c>
      <c r="G414" t="s">
        <v>79</v>
      </c>
      <c r="H414" t="s">
        <v>70</v>
      </c>
      <c r="I414">
        <v>8</v>
      </c>
      <c r="J414">
        <v>250</v>
      </c>
      <c r="K414">
        <v>0.15</v>
      </c>
      <c r="L414">
        <v>1700</v>
      </c>
      <c r="M414">
        <v>1306.17</v>
      </c>
      <c r="N414">
        <v>393.83</v>
      </c>
    </row>
    <row r="415" spans="1:14" x14ac:dyDescent="0.25">
      <c r="A415" t="s">
        <v>483</v>
      </c>
      <c r="B415">
        <v>45931</v>
      </c>
      <c r="C415" t="s">
        <v>33</v>
      </c>
      <c r="D415" t="s">
        <v>73</v>
      </c>
      <c r="E415" t="s">
        <v>23</v>
      </c>
      <c r="F415" t="s">
        <v>39</v>
      </c>
      <c r="G415" t="s">
        <v>89</v>
      </c>
      <c r="H415" t="s">
        <v>55</v>
      </c>
      <c r="I415">
        <v>7</v>
      </c>
      <c r="J415">
        <v>1200</v>
      </c>
      <c r="K415">
        <v>0.05</v>
      </c>
      <c r="L415">
        <v>7980</v>
      </c>
      <c r="M415">
        <v>5040.76</v>
      </c>
      <c r="N415">
        <v>2939.24</v>
      </c>
    </row>
    <row r="416" spans="1:14" x14ac:dyDescent="0.25">
      <c r="A416" t="s">
        <v>484</v>
      </c>
      <c r="B416">
        <v>45686</v>
      </c>
      <c r="C416" t="s">
        <v>43</v>
      </c>
      <c r="D416" t="s">
        <v>44</v>
      </c>
      <c r="E416" t="s">
        <v>23</v>
      </c>
      <c r="F416" t="s">
        <v>35</v>
      </c>
      <c r="G416" t="s">
        <v>136</v>
      </c>
      <c r="H416" t="s">
        <v>37</v>
      </c>
      <c r="I416">
        <v>3</v>
      </c>
      <c r="J416">
        <v>22000</v>
      </c>
      <c r="K416">
        <v>0</v>
      </c>
      <c r="L416">
        <v>66000</v>
      </c>
      <c r="M416">
        <v>50947.44</v>
      </c>
      <c r="N416">
        <v>15052.56</v>
      </c>
    </row>
    <row r="417" spans="1:14" x14ac:dyDescent="0.25">
      <c r="A417" t="s">
        <v>485</v>
      </c>
      <c r="B417">
        <v>45809</v>
      </c>
      <c r="C417" t="s">
        <v>43</v>
      </c>
      <c r="D417" t="s">
        <v>53</v>
      </c>
      <c r="E417" t="s">
        <v>29</v>
      </c>
      <c r="F417" t="s">
        <v>30</v>
      </c>
      <c r="G417" t="s">
        <v>31</v>
      </c>
      <c r="H417" t="s">
        <v>70</v>
      </c>
      <c r="I417">
        <v>4</v>
      </c>
      <c r="J417">
        <v>7000</v>
      </c>
      <c r="K417">
        <v>0.15</v>
      </c>
      <c r="L417">
        <v>23800</v>
      </c>
      <c r="M417">
        <v>16000.05</v>
      </c>
      <c r="N417">
        <v>7799.95</v>
      </c>
    </row>
    <row r="418" spans="1:14" x14ac:dyDescent="0.25">
      <c r="A418" t="s">
        <v>486</v>
      </c>
      <c r="B418">
        <v>46014</v>
      </c>
      <c r="C418" t="s">
        <v>33</v>
      </c>
      <c r="D418" t="s">
        <v>34</v>
      </c>
      <c r="E418" t="s">
        <v>29</v>
      </c>
      <c r="F418" t="s">
        <v>30</v>
      </c>
      <c r="G418" t="s">
        <v>54</v>
      </c>
      <c r="H418" t="s">
        <v>41</v>
      </c>
      <c r="I418">
        <v>6</v>
      </c>
      <c r="J418">
        <v>12000</v>
      </c>
      <c r="K418">
        <v>0</v>
      </c>
      <c r="L418">
        <v>72000</v>
      </c>
      <c r="M418">
        <v>44845.37</v>
      </c>
      <c r="N418">
        <v>27154.63</v>
      </c>
    </row>
    <row r="419" spans="1:14" x14ac:dyDescent="0.25">
      <c r="A419" t="s">
        <v>487</v>
      </c>
      <c r="B419">
        <v>45786</v>
      </c>
      <c r="C419" t="s">
        <v>43</v>
      </c>
      <c r="D419" t="s">
        <v>50</v>
      </c>
      <c r="E419" t="s">
        <v>23</v>
      </c>
      <c r="F419" t="s">
        <v>39</v>
      </c>
      <c r="G419" t="s">
        <v>93</v>
      </c>
      <c r="H419" t="s">
        <v>41</v>
      </c>
      <c r="I419">
        <v>6</v>
      </c>
      <c r="J419">
        <v>2500</v>
      </c>
      <c r="K419">
        <v>0.05</v>
      </c>
      <c r="L419">
        <v>14250</v>
      </c>
      <c r="M419">
        <v>11268.22</v>
      </c>
      <c r="N419">
        <v>2981.78</v>
      </c>
    </row>
    <row r="420" spans="1:14" x14ac:dyDescent="0.25">
      <c r="A420" t="s">
        <v>488</v>
      </c>
      <c r="B420">
        <v>45757</v>
      </c>
      <c r="C420" t="s">
        <v>33</v>
      </c>
      <c r="D420" t="s">
        <v>73</v>
      </c>
      <c r="E420" t="s">
        <v>23</v>
      </c>
      <c r="F420" t="s">
        <v>39</v>
      </c>
      <c r="G420" t="s">
        <v>89</v>
      </c>
      <c r="H420" t="s">
        <v>20</v>
      </c>
      <c r="I420">
        <v>3</v>
      </c>
      <c r="J420">
        <v>1200</v>
      </c>
      <c r="K420">
        <v>0</v>
      </c>
      <c r="L420">
        <v>3600</v>
      </c>
      <c r="M420">
        <v>2530.7399999999998</v>
      </c>
      <c r="N420">
        <v>1069.26</v>
      </c>
    </row>
    <row r="421" spans="1:14" x14ac:dyDescent="0.25">
      <c r="A421" t="s">
        <v>489</v>
      </c>
      <c r="B421">
        <v>45877</v>
      </c>
      <c r="C421" t="s">
        <v>33</v>
      </c>
      <c r="D421" t="s">
        <v>63</v>
      </c>
      <c r="E421" t="s">
        <v>23</v>
      </c>
      <c r="F421" t="s">
        <v>24</v>
      </c>
      <c r="G421" t="s">
        <v>76</v>
      </c>
      <c r="H421" t="s">
        <v>37</v>
      </c>
      <c r="I421">
        <v>1</v>
      </c>
      <c r="J421">
        <v>49000</v>
      </c>
      <c r="K421">
        <v>0.1</v>
      </c>
      <c r="L421">
        <v>44100</v>
      </c>
      <c r="M421">
        <v>31866.35</v>
      </c>
      <c r="N421">
        <v>12233.65</v>
      </c>
    </row>
    <row r="422" spans="1:14" x14ac:dyDescent="0.25">
      <c r="A422" t="s">
        <v>490</v>
      </c>
      <c r="B422">
        <v>45737</v>
      </c>
      <c r="C422" t="s">
        <v>15</v>
      </c>
      <c r="D422" t="s">
        <v>128</v>
      </c>
      <c r="E422" t="s">
        <v>29</v>
      </c>
      <c r="F422" t="s">
        <v>47</v>
      </c>
      <c r="G422" t="s">
        <v>48</v>
      </c>
      <c r="H422" t="s">
        <v>70</v>
      </c>
      <c r="I422">
        <v>5</v>
      </c>
      <c r="J422">
        <v>4200</v>
      </c>
      <c r="K422">
        <v>0.15</v>
      </c>
      <c r="L422">
        <v>17850</v>
      </c>
      <c r="M422">
        <v>14168.97</v>
      </c>
      <c r="N422">
        <v>3681.03</v>
      </c>
    </row>
    <row r="423" spans="1:14" x14ac:dyDescent="0.25">
      <c r="A423" t="s">
        <v>491</v>
      </c>
      <c r="B423">
        <v>45939</v>
      </c>
      <c r="C423" t="s">
        <v>33</v>
      </c>
      <c r="D423" t="s">
        <v>34</v>
      </c>
      <c r="E423" t="s">
        <v>17</v>
      </c>
      <c r="F423" t="s">
        <v>18</v>
      </c>
      <c r="G423" t="s">
        <v>19</v>
      </c>
      <c r="H423" t="s">
        <v>20</v>
      </c>
      <c r="I423">
        <v>2</v>
      </c>
      <c r="J423">
        <v>8500</v>
      </c>
      <c r="K423">
        <v>0.05</v>
      </c>
      <c r="L423">
        <v>16150</v>
      </c>
      <c r="M423">
        <v>11490.8</v>
      </c>
      <c r="N423">
        <v>4659.2</v>
      </c>
    </row>
    <row r="424" spans="1:14" x14ac:dyDescent="0.25">
      <c r="A424" t="s">
        <v>492</v>
      </c>
      <c r="B424">
        <v>45932</v>
      </c>
      <c r="C424" t="s">
        <v>27</v>
      </c>
      <c r="D424" t="s">
        <v>61</v>
      </c>
      <c r="E424" t="s">
        <v>29</v>
      </c>
      <c r="F424" t="s">
        <v>47</v>
      </c>
      <c r="G424" t="s">
        <v>68</v>
      </c>
      <c r="H424" t="s">
        <v>41</v>
      </c>
      <c r="I424">
        <v>6</v>
      </c>
      <c r="J424">
        <v>6500</v>
      </c>
      <c r="K424">
        <v>0.1</v>
      </c>
      <c r="L424">
        <v>35100</v>
      </c>
      <c r="M424">
        <v>24548.080000000002</v>
      </c>
      <c r="N424">
        <v>10551.92</v>
      </c>
    </row>
    <row r="425" spans="1:14" x14ac:dyDescent="0.25">
      <c r="A425" t="s">
        <v>493</v>
      </c>
      <c r="B425">
        <v>45769</v>
      </c>
      <c r="C425" t="s">
        <v>27</v>
      </c>
      <c r="D425" t="s">
        <v>61</v>
      </c>
      <c r="E425" t="s">
        <v>23</v>
      </c>
      <c r="F425" t="s">
        <v>39</v>
      </c>
      <c r="G425" t="s">
        <v>40</v>
      </c>
      <c r="H425" t="s">
        <v>45</v>
      </c>
      <c r="I425">
        <v>4</v>
      </c>
      <c r="J425">
        <v>1800</v>
      </c>
      <c r="K425">
        <v>0.05</v>
      </c>
      <c r="L425">
        <v>6840</v>
      </c>
      <c r="M425">
        <v>5683.75</v>
      </c>
      <c r="N425">
        <v>1156.25</v>
      </c>
    </row>
    <row r="426" spans="1:14" x14ac:dyDescent="0.25">
      <c r="A426" t="s">
        <v>494</v>
      </c>
      <c r="B426">
        <v>46007</v>
      </c>
      <c r="C426" t="s">
        <v>33</v>
      </c>
      <c r="D426" t="s">
        <v>73</v>
      </c>
      <c r="E426" t="s">
        <v>23</v>
      </c>
      <c r="F426" t="s">
        <v>35</v>
      </c>
      <c r="G426" t="s">
        <v>64</v>
      </c>
      <c r="H426" t="s">
        <v>70</v>
      </c>
      <c r="I426">
        <v>5</v>
      </c>
      <c r="J426">
        <v>31000</v>
      </c>
      <c r="K426">
        <v>0</v>
      </c>
      <c r="L426">
        <v>155000</v>
      </c>
      <c r="M426">
        <v>127176.56</v>
      </c>
      <c r="N426">
        <v>27823.439999999999</v>
      </c>
    </row>
    <row r="427" spans="1:14" x14ac:dyDescent="0.25">
      <c r="A427" t="s">
        <v>495</v>
      </c>
      <c r="B427">
        <v>45849</v>
      </c>
      <c r="C427" t="s">
        <v>27</v>
      </c>
      <c r="D427" t="s">
        <v>57</v>
      </c>
      <c r="E427" t="s">
        <v>23</v>
      </c>
      <c r="F427" t="s">
        <v>35</v>
      </c>
      <c r="G427" t="s">
        <v>136</v>
      </c>
      <c r="H427" t="s">
        <v>20</v>
      </c>
      <c r="I427">
        <v>6</v>
      </c>
      <c r="J427">
        <v>22000</v>
      </c>
      <c r="K427">
        <v>0</v>
      </c>
      <c r="L427">
        <v>132000</v>
      </c>
      <c r="M427">
        <v>109376.07</v>
      </c>
      <c r="N427">
        <v>22623.93</v>
      </c>
    </row>
    <row r="428" spans="1:14" x14ac:dyDescent="0.25">
      <c r="A428" t="s">
        <v>496</v>
      </c>
      <c r="B428">
        <v>45743</v>
      </c>
      <c r="C428" t="s">
        <v>15</v>
      </c>
      <c r="D428" t="s">
        <v>16</v>
      </c>
      <c r="E428" t="s">
        <v>23</v>
      </c>
      <c r="F428" t="s">
        <v>39</v>
      </c>
      <c r="G428" t="s">
        <v>93</v>
      </c>
      <c r="H428" t="s">
        <v>20</v>
      </c>
      <c r="I428">
        <v>7</v>
      </c>
      <c r="J428">
        <v>2500</v>
      </c>
      <c r="K428">
        <v>0</v>
      </c>
      <c r="L428">
        <v>17500</v>
      </c>
      <c r="M428">
        <v>11641.48</v>
      </c>
      <c r="N428">
        <v>5858.52</v>
      </c>
    </row>
    <row r="429" spans="1:14" x14ac:dyDescent="0.25">
      <c r="A429" t="s">
        <v>497</v>
      </c>
      <c r="B429">
        <v>46017</v>
      </c>
      <c r="C429" t="s">
        <v>27</v>
      </c>
      <c r="D429" t="s">
        <v>61</v>
      </c>
      <c r="E429" t="s">
        <v>17</v>
      </c>
      <c r="F429" t="s">
        <v>78</v>
      </c>
      <c r="G429" t="s">
        <v>82</v>
      </c>
      <c r="H429" t="s">
        <v>45</v>
      </c>
      <c r="I429">
        <v>6</v>
      </c>
      <c r="J429">
        <v>450</v>
      </c>
      <c r="K429">
        <v>0</v>
      </c>
      <c r="L429">
        <v>2700</v>
      </c>
      <c r="M429">
        <v>1725.99</v>
      </c>
      <c r="N429">
        <v>974.01</v>
      </c>
    </row>
    <row r="430" spans="1:14" x14ac:dyDescent="0.25">
      <c r="A430" t="s">
        <v>498</v>
      </c>
      <c r="B430">
        <v>45685</v>
      </c>
      <c r="C430" t="s">
        <v>43</v>
      </c>
      <c r="D430" t="s">
        <v>44</v>
      </c>
      <c r="E430" t="s">
        <v>17</v>
      </c>
      <c r="F430" t="s">
        <v>78</v>
      </c>
      <c r="G430" t="s">
        <v>91</v>
      </c>
      <c r="H430" t="s">
        <v>20</v>
      </c>
      <c r="I430">
        <v>5</v>
      </c>
      <c r="J430">
        <v>180</v>
      </c>
      <c r="K430">
        <v>0.15</v>
      </c>
      <c r="L430">
        <v>765</v>
      </c>
      <c r="M430">
        <v>539.61</v>
      </c>
      <c r="N430">
        <v>225.39</v>
      </c>
    </row>
    <row r="431" spans="1:14" x14ac:dyDescent="0.25">
      <c r="A431" t="s">
        <v>499</v>
      </c>
      <c r="B431">
        <v>45980</v>
      </c>
      <c r="C431" t="s">
        <v>27</v>
      </c>
      <c r="D431" t="s">
        <v>57</v>
      </c>
      <c r="E431" t="s">
        <v>29</v>
      </c>
      <c r="F431" t="s">
        <v>47</v>
      </c>
      <c r="G431" t="s">
        <v>84</v>
      </c>
      <c r="H431" t="s">
        <v>41</v>
      </c>
      <c r="I431">
        <v>2</v>
      </c>
      <c r="J431">
        <v>10500</v>
      </c>
      <c r="K431">
        <v>0</v>
      </c>
      <c r="L431">
        <v>21000</v>
      </c>
      <c r="M431">
        <v>15983.37</v>
      </c>
      <c r="N431">
        <v>5016.63</v>
      </c>
    </row>
    <row r="432" spans="1:14" x14ac:dyDescent="0.25">
      <c r="A432" t="s">
        <v>500</v>
      </c>
      <c r="B432">
        <v>45974</v>
      </c>
      <c r="C432" t="s">
        <v>15</v>
      </c>
      <c r="D432" t="s">
        <v>16</v>
      </c>
      <c r="E432" t="s">
        <v>17</v>
      </c>
      <c r="F432" t="s">
        <v>78</v>
      </c>
      <c r="G432" t="s">
        <v>79</v>
      </c>
      <c r="H432" t="s">
        <v>70</v>
      </c>
      <c r="I432">
        <v>2</v>
      </c>
      <c r="J432">
        <v>250</v>
      </c>
      <c r="K432">
        <v>0.1</v>
      </c>
      <c r="L432">
        <v>450</v>
      </c>
      <c r="M432">
        <v>356.9</v>
      </c>
      <c r="N432">
        <v>93.1</v>
      </c>
    </row>
    <row r="433" spans="1:14" x14ac:dyDescent="0.25">
      <c r="A433" t="s">
        <v>501</v>
      </c>
      <c r="B433">
        <v>45812</v>
      </c>
      <c r="C433" t="s">
        <v>15</v>
      </c>
      <c r="D433" t="s">
        <v>67</v>
      </c>
      <c r="E433" t="s">
        <v>29</v>
      </c>
      <c r="F433" t="s">
        <v>30</v>
      </c>
      <c r="G433" t="s">
        <v>54</v>
      </c>
      <c r="H433" t="s">
        <v>41</v>
      </c>
      <c r="I433">
        <v>1</v>
      </c>
      <c r="J433">
        <v>12000</v>
      </c>
      <c r="K433">
        <v>0.15</v>
      </c>
      <c r="L433">
        <v>10200</v>
      </c>
      <c r="M433">
        <v>6674.79</v>
      </c>
      <c r="N433">
        <v>3525.21</v>
      </c>
    </row>
    <row r="434" spans="1:14" x14ac:dyDescent="0.25">
      <c r="A434" t="s">
        <v>502</v>
      </c>
      <c r="B434">
        <v>45770</v>
      </c>
      <c r="C434" t="s">
        <v>43</v>
      </c>
      <c r="D434" t="s">
        <v>50</v>
      </c>
      <c r="E434" t="s">
        <v>17</v>
      </c>
      <c r="F434" t="s">
        <v>18</v>
      </c>
      <c r="G434" t="s">
        <v>19</v>
      </c>
      <c r="H434" t="s">
        <v>37</v>
      </c>
      <c r="I434">
        <v>6</v>
      </c>
      <c r="J434">
        <v>8500</v>
      </c>
      <c r="K434">
        <v>0</v>
      </c>
      <c r="L434">
        <v>51000</v>
      </c>
      <c r="M434">
        <v>37830.54</v>
      </c>
      <c r="N434">
        <v>13169.46</v>
      </c>
    </row>
    <row r="435" spans="1:14" x14ac:dyDescent="0.25">
      <c r="A435" t="s">
        <v>503</v>
      </c>
      <c r="B435">
        <v>45942</v>
      </c>
      <c r="C435" t="s">
        <v>43</v>
      </c>
      <c r="D435" t="s">
        <v>53</v>
      </c>
      <c r="E435" t="s">
        <v>23</v>
      </c>
      <c r="F435" t="s">
        <v>24</v>
      </c>
      <c r="G435" t="s">
        <v>76</v>
      </c>
      <c r="H435" t="s">
        <v>70</v>
      </c>
      <c r="I435">
        <v>7</v>
      </c>
      <c r="J435">
        <v>49000</v>
      </c>
      <c r="K435">
        <v>0</v>
      </c>
      <c r="L435">
        <v>343000</v>
      </c>
      <c r="M435">
        <v>235651.99</v>
      </c>
      <c r="N435">
        <v>107348.01</v>
      </c>
    </row>
    <row r="436" spans="1:14" x14ac:dyDescent="0.25">
      <c r="A436" t="s">
        <v>504</v>
      </c>
      <c r="B436">
        <v>45834</v>
      </c>
      <c r="C436" t="s">
        <v>43</v>
      </c>
      <c r="D436" t="s">
        <v>50</v>
      </c>
      <c r="E436" t="s">
        <v>17</v>
      </c>
      <c r="F436" t="s">
        <v>78</v>
      </c>
      <c r="G436" t="s">
        <v>82</v>
      </c>
      <c r="H436" t="s">
        <v>20</v>
      </c>
      <c r="I436">
        <v>4</v>
      </c>
      <c r="J436">
        <v>450</v>
      </c>
      <c r="K436">
        <v>0.1</v>
      </c>
      <c r="L436">
        <v>1620</v>
      </c>
      <c r="M436">
        <v>1073.6600000000001</v>
      </c>
      <c r="N436">
        <v>546.34</v>
      </c>
    </row>
    <row r="437" spans="1:14" x14ac:dyDescent="0.25">
      <c r="A437" t="s">
        <v>505</v>
      </c>
      <c r="B437">
        <v>45750</v>
      </c>
      <c r="C437" t="s">
        <v>15</v>
      </c>
      <c r="D437" t="s">
        <v>22</v>
      </c>
      <c r="E437" t="s">
        <v>17</v>
      </c>
      <c r="F437" t="s">
        <v>78</v>
      </c>
      <c r="G437" t="s">
        <v>79</v>
      </c>
      <c r="H437" t="s">
        <v>41</v>
      </c>
      <c r="I437">
        <v>2</v>
      </c>
      <c r="J437">
        <v>250</v>
      </c>
      <c r="K437">
        <v>0.1</v>
      </c>
      <c r="L437">
        <v>450</v>
      </c>
      <c r="M437">
        <v>288.72000000000003</v>
      </c>
      <c r="N437">
        <v>161.28</v>
      </c>
    </row>
    <row r="438" spans="1:14" x14ac:dyDescent="0.25">
      <c r="A438" t="s">
        <v>506</v>
      </c>
      <c r="B438">
        <v>45955</v>
      </c>
      <c r="C438" t="s">
        <v>27</v>
      </c>
      <c r="D438" t="s">
        <v>118</v>
      </c>
      <c r="E438" t="s">
        <v>29</v>
      </c>
      <c r="F438" t="s">
        <v>47</v>
      </c>
      <c r="G438" t="s">
        <v>48</v>
      </c>
      <c r="H438" t="s">
        <v>41</v>
      </c>
      <c r="I438">
        <v>4</v>
      </c>
      <c r="J438">
        <v>4200</v>
      </c>
      <c r="K438">
        <v>0</v>
      </c>
      <c r="L438">
        <v>16800</v>
      </c>
      <c r="M438">
        <v>11469.87</v>
      </c>
      <c r="N438">
        <v>5330.13</v>
      </c>
    </row>
    <row r="439" spans="1:14" x14ac:dyDescent="0.25">
      <c r="A439" t="s">
        <v>507</v>
      </c>
      <c r="B439">
        <v>45693</v>
      </c>
      <c r="C439" t="s">
        <v>43</v>
      </c>
      <c r="D439" t="s">
        <v>44</v>
      </c>
      <c r="E439" t="s">
        <v>29</v>
      </c>
      <c r="F439" t="s">
        <v>30</v>
      </c>
      <c r="G439" t="s">
        <v>54</v>
      </c>
      <c r="H439" t="s">
        <v>70</v>
      </c>
      <c r="I439">
        <v>5</v>
      </c>
      <c r="J439">
        <v>12000</v>
      </c>
      <c r="K439">
        <v>0.05</v>
      </c>
      <c r="L439">
        <v>57000</v>
      </c>
      <c r="M439">
        <v>42432.02</v>
      </c>
      <c r="N439">
        <v>14567.98</v>
      </c>
    </row>
    <row r="440" spans="1:14" x14ac:dyDescent="0.25">
      <c r="A440" t="s">
        <v>508</v>
      </c>
      <c r="B440">
        <v>45844</v>
      </c>
      <c r="C440" t="s">
        <v>33</v>
      </c>
      <c r="D440" t="s">
        <v>73</v>
      </c>
      <c r="E440" t="s">
        <v>23</v>
      </c>
      <c r="F440" t="s">
        <v>24</v>
      </c>
      <c r="G440" t="s">
        <v>129</v>
      </c>
      <c r="H440" t="s">
        <v>20</v>
      </c>
      <c r="I440">
        <v>4</v>
      </c>
      <c r="J440">
        <v>58000</v>
      </c>
      <c r="K440">
        <v>0.15</v>
      </c>
      <c r="L440">
        <v>197200</v>
      </c>
      <c r="M440">
        <v>134267.48000000001</v>
      </c>
      <c r="N440">
        <v>62932.52</v>
      </c>
    </row>
    <row r="441" spans="1:14" x14ac:dyDescent="0.25">
      <c r="A441" t="s">
        <v>509</v>
      </c>
      <c r="B441">
        <v>45842</v>
      </c>
      <c r="C441" t="s">
        <v>43</v>
      </c>
      <c r="D441" t="s">
        <v>44</v>
      </c>
      <c r="E441" t="s">
        <v>29</v>
      </c>
      <c r="F441" t="s">
        <v>30</v>
      </c>
      <c r="G441" t="s">
        <v>54</v>
      </c>
      <c r="H441" t="s">
        <v>37</v>
      </c>
      <c r="I441">
        <v>5</v>
      </c>
      <c r="J441">
        <v>12000</v>
      </c>
      <c r="K441">
        <v>0.15</v>
      </c>
      <c r="L441">
        <v>51000</v>
      </c>
      <c r="M441">
        <v>37809.760000000002</v>
      </c>
      <c r="N441">
        <v>13190.24</v>
      </c>
    </row>
    <row r="442" spans="1:14" x14ac:dyDescent="0.25">
      <c r="A442" t="s">
        <v>510</v>
      </c>
      <c r="B442">
        <v>45747</v>
      </c>
      <c r="C442" t="s">
        <v>15</v>
      </c>
      <c r="D442" t="s">
        <v>67</v>
      </c>
      <c r="E442" t="s">
        <v>23</v>
      </c>
      <c r="F442" t="s">
        <v>39</v>
      </c>
      <c r="G442" t="s">
        <v>89</v>
      </c>
      <c r="H442" t="s">
        <v>37</v>
      </c>
      <c r="I442">
        <v>2</v>
      </c>
      <c r="J442">
        <v>1200</v>
      </c>
      <c r="K442">
        <v>0</v>
      </c>
      <c r="L442">
        <v>2400</v>
      </c>
      <c r="M442">
        <v>1959.03</v>
      </c>
      <c r="N442">
        <v>440.97</v>
      </c>
    </row>
    <row r="443" spans="1:14" x14ac:dyDescent="0.25">
      <c r="A443" t="s">
        <v>511</v>
      </c>
      <c r="B443">
        <v>45917</v>
      </c>
      <c r="C443" t="s">
        <v>15</v>
      </c>
      <c r="D443" t="s">
        <v>22</v>
      </c>
      <c r="E443" t="s">
        <v>17</v>
      </c>
      <c r="F443" t="s">
        <v>78</v>
      </c>
      <c r="G443" t="s">
        <v>82</v>
      </c>
      <c r="H443" t="s">
        <v>70</v>
      </c>
      <c r="I443">
        <v>5</v>
      </c>
      <c r="J443">
        <v>450</v>
      </c>
      <c r="K443">
        <v>0.15</v>
      </c>
      <c r="L443">
        <v>1912.5</v>
      </c>
      <c r="M443">
        <v>1460.88</v>
      </c>
      <c r="N443">
        <v>451.62</v>
      </c>
    </row>
    <row r="444" spans="1:14" x14ac:dyDescent="0.25">
      <c r="A444" t="s">
        <v>512</v>
      </c>
      <c r="B444">
        <v>45734</v>
      </c>
      <c r="C444" t="s">
        <v>33</v>
      </c>
      <c r="D444" t="s">
        <v>73</v>
      </c>
      <c r="E444" t="s">
        <v>23</v>
      </c>
      <c r="F444" t="s">
        <v>39</v>
      </c>
      <c r="G444" t="s">
        <v>93</v>
      </c>
      <c r="H444" t="s">
        <v>37</v>
      </c>
      <c r="I444">
        <v>3</v>
      </c>
      <c r="J444">
        <v>2500</v>
      </c>
      <c r="K444">
        <v>0.15</v>
      </c>
      <c r="L444">
        <v>6375</v>
      </c>
      <c r="M444">
        <v>4655.33</v>
      </c>
      <c r="N444">
        <v>1719.67</v>
      </c>
    </row>
    <row r="445" spans="1:14" x14ac:dyDescent="0.25">
      <c r="A445" t="s">
        <v>513</v>
      </c>
      <c r="B445">
        <v>45704</v>
      </c>
      <c r="C445" t="s">
        <v>27</v>
      </c>
      <c r="D445" t="s">
        <v>118</v>
      </c>
      <c r="E445" t="s">
        <v>17</v>
      </c>
      <c r="F445" t="s">
        <v>78</v>
      </c>
      <c r="G445" t="s">
        <v>91</v>
      </c>
      <c r="H445" t="s">
        <v>20</v>
      </c>
      <c r="I445">
        <v>3</v>
      </c>
      <c r="J445">
        <v>180</v>
      </c>
      <c r="K445">
        <v>0.05</v>
      </c>
      <c r="L445">
        <v>513</v>
      </c>
      <c r="M445">
        <v>368.42</v>
      </c>
      <c r="N445">
        <v>144.58000000000001</v>
      </c>
    </row>
    <row r="446" spans="1:14" x14ac:dyDescent="0.25">
      <c r="A446" t="s">
        <v>514</v>
      </c>
      <c r="B446">
        <v>45749</v>
      </c>
      <c r="C446" t="s">
        <v>43</v>
      </c>
      <c r="D446" t="s">
        <v>50</v>
      </c>
      <c r="E446" t="s">
        <v>29</v>
      </c>
      <c r="F446" t="s">
        <v>47</v>
      </c>
      <c r="G446" t="s">
        <v>68</v>
      </c>
      <c r="H446" t="s">
        <v>45</v>
      </c>
      <c r="I446">
        <v>4</v>
      </c>
      <c r="J446">
        <v>6500</v>
      </c>
      <c r="K446">
        <v>0</v>
      </c>
      <c r="L446">
        <v>26000</v>
      </c>
      <c r="M446">
        <v>17632.12</v>
      </c>
      <c r="N446">
        <v>8367.8799999999992</v>
      </c>
    </row>
    <row r="447" spans="1:14" x14ac:dyDescent="0.25">
      <c r="A447" t="s">
        <v>515</v>
      </c>
      <c r="B447">
        <v>45777</v>
      </c>
      <c r="C447" t="s">
        <v>15</v>
      </c>
      <c r="D447" t="s">
        <v>128</v>
      </c>
      <c r="E447" t="s">
        <v>17</v>
      </c>
      <c r="F447" t="s">
        <v>18</v>
      </c>
      <c r="G447" t="s">
        <v>99</v>
      </c>
      <c r="H447" t="s">
        <v>45</v>
      </c>
      <c r="I447">
        <v>8</v>
      </c>
      <c r="J447">
        <v>14500</v>
      </c>
      <c r="K447">
        <v>0</v>
      </c>
      <c r="L447">
        <v>116000</v>
      </c>
      <c r="M447">
        <v>72938.37</v>
      </c>
      <c r="N447">
        <v>43061.63</v>
      </c>
    </row>
    <row r="448" spans="1:14" x14ac:dyDescent="0.25">
      <c r="A448" t="s">
        <v>516</v>
      </c>
      <c r="B448">
        <v>45990</v>
      </c>
      <c r="C448" t="s">
        <v>33</v>
      </c>
      <c r="D448" t="s">
        <v>34</v>
      </c>
      <c r="E448" t="s">
        <v>17</v>
      </c>
      <c r="F448" t="s">
        <v>18</v>
      </c>
      <c r="G448" t="s">
        <v>99</v>
      </c>
      <c r="H448" t="s">
        <v>70</v>
      </c>
      <c r="I448">
        <v>3</v>
      </c>
      <c r="J448">
        <v>14500</v>
      </c>
      <c r="K448">
        <v>0.15</v>
      </c>
      <c r="L448">
        <v>36975</v>
      </c>
      <c r="M448">
        <v>28241.82</v>
      </c>
      <c r="N448">
        <v>8733.18</v>
      </c>
    </row>
    <row r="449" spans="1:14" x14ac:dyDescent="0.25">
      <c r="A449" t="s">
        <v>517</v>
      </c>
      <c r="B449">
        <v>45845</v>
      </c>
      <c r="C449" t="s">
        <v>15</v>
      </c>
      <c r="D449" t="s">
        <v>67</v>
      </c>
      <c r="E449" t="s">
        <v>29</v>
      </c>
      <c r="F449" t="s">
        <v>47</v>
      </c>
      <c r="G449" t="s">
        <v>48</v>
      </c>
      <c r="H449" t="s">
        <v>45</v>
      </c>
      <c r="I449">
        <v>6</v>
      </c>
      <c r="J449">
        <v>4200</v>
      </c>
      <c r="K449">
        <v>0.1</v>
      </c>
      <c r="L449">
        <v>22680</v>
      </c>
      <c r="M449">
        <v>16490.84</v>
      </c>
      <c r="N449">
        <v>6189.16</v>
      </c>
    </row>
    <row r="450" spans="1:14" x14ac:dyDescent="0.25">
      <c r="A450" t="s">
        <v>518</v>
      </c>
      <c r="B450">
        <v>45904</v>
      </c>
      <c r="C450" t="s">
        <v>15</v>
      </c>
      <c r="D450" t="s">
        <v>128</v>
      </c>
      <c r="E450" t="s">
        <v>29</v>
      </c>
      <c r="F450" t="s">
        <v>47</v>
      </c>
      <c r="G450" t="s">
        <v>68</v>
      </c>
      <c r="H450" t="s">
        <v>55</v>
      </c>
      <c r="I450">
        <v>5</v>
      </c>
      <c r="J450">
        <v>6500</v>
      </c>
      <c r="K450">
        <v>0.05</v>
      </c>
      <c r="L450">
        <v>30875</v>
      </c>
      <c r="M450">
        <v>20163.009999999998</v>
      </c>
      <c r="N450">
        <v>10711.99</v>
      </c>
    </row>
    <row r="451" spans="1:14" x14ac:dyDescent="0.25">
      <c r="A451" t="s">
        <v>519</v>
      </c>
      <c r="B451">
        <v>45738</v>
      </c>
      <c r="C451" t="s">
        <v>33</v>
      </c>
      <c r="D451" t="s">
        <v>34</v>
      </c>
      <c r="E451" t="s">
        <v>17</v>
      </c>
      <c r="F451" t="s">
        <v>78</v>
      </c>
      <c r="G451" t="s">
        <v>79</v>
      </c>
      <c r="H451" t="s">
        <v>37</v>
      </c>
      <c r="I451">
        <v>2</v>
      </c>
      <c r="J451">
        <v>250</v>
      </c>
      <c r="K451">
        <v>0.15</v>
      </c>
      <c r="L451">
        <v>425</v>
      </c>
      <c r="M451">
        <v>326.63</v>
      </c>
      <c r="N451">
        <v>98.37</v>
      </c>
    </row>
    <row r="452" spans="1:14" x14ac:dyDescent="0.25">
      <c r="A452" t="s">
        <v>520</v>
      </c>
      <c r="B452">
        <v>45903</v>
      </c>
      <c r="C452" t="s">
        <v>43</v>
      </c>
      <c r="D452" t="s">
        <v>75</v>
      </c>
      <c r="E452" t="s">
        <v>17</v>
      </c>
      <c r="F452" t="s">
        <v>18</v>
      </c>
      <c r="G452" t="s">
        <v>19</v>
      </c>
      <c r="H452" t="s">
        <v>20</v>
      </c>
      <c r="I452">
        <v>1</v>
      </c>
      <c r="J452">
        <v>8500</v>
      </c>
      <c r="K452">
        <v>0.05</v>
      </c>
      <c r="L452">
        <v>8075</v>
      </c>
      <c r="M452">
        <v>6025.3</v>
      </c>
      <c r="N452">
        <v>2049.6999999999998</v>
      </c>
    </row>
    <row r="453" spans="1:14" x14ac:dyDescent="0.25">
      <c r="A453" t="s">
        <v>521</v>
      </c>
      <c r="B453">
        <v>45740</v>
      </c>
      <c r="C453" t="s">
        <v>43</v>
      </c>
      <c r="D453" t="s">
        <v>53</v>
      </c>
      <c r="E453" t="s">
        <v>17</v>
      </c>
      <c r="F453" t="s">
        <v>78</v>
      </c>
      <c r="G453" t="s">
        <v>82</v>
      </c>
      <c r="H453" t="s">
        <v>20</v>
      </c>
      <c r="I453">
        <v>5</v>
      </c>
      <c r="J453">
        <v>450</v>
      </c>
      <c r="K453">
        <v>0.05</v>
      </c>
      <c r="L453">
        <v>2137.5</v>
      </c>
      <c r="M453">
        <v>1568.2</v>
      </c>
      <c r="N453">
        <v>569.29999999999995</v>
      </c>
    </row>
    <row r="454" spans="1:14" x14ac:dyDescent="0.25">
      <c r="A454" t="s">
        <v>522</v>
      </c>
      <c r="B454">
        <v>45865</v>
      </c>
      <c r="C454" t="s">
        <v>15</v>
      </c>
      <c r="D454" t="s">
        <v>67</v>
      </c>
      <c r="E454" t="s">
        <v>23</v>
      </c>
      <c r="F454" t="s">
        <v>24</v>
      </c>
      <c r="G454" t="s">
        <v>129</v>
      </c>
      <c r="H454" t="s">
        <v>70</v>
      </c>
      <c r="I454">
        <v>8</v>
      </c>
      <c r="J454">
        <v>58000</v>
      </c>
      <c r="K454">
        <v>0.15</v>
      </c>
      <c r="L454">
        <v>394400</v>
      </c>
      <c r="M454">
        <v>259327.74</v>
      </c>
      <c r="N454">
        <v>135072.26</v>
      </c>
    </row>
    <row r="455" spans="1:14" x14ac:dyDescent="0.25">
      <c r="A455" t="s">
        <v>523</v>
      </c>
      <c r="B455">
        <v>45868</v>
      </c>
      <c r="C455" t="s">
        <v>43</v>
      </c>
      <c r="D455" t="s">
        <v>75</v>
      </c>
      <c r="E455" t="s">
        <v>17</v>
      </c>
      <c r="F455" t="s">
        <v>18</v>
      </c>
      <c r="G455" t="s">
        <v>19</v>
      </c>
      <c r="H455" t="s">
        <v>41</v>
      </c>
      <c r="I455">
        <v>6</v>
      </c>
      <c r="J455">
        <v>8500</v>
      </c>
      <c r="K455">
        <v>0.15</v>
      </c>
      <c r="L455">
        <v>43350</v>
      </c>
      <c r="M455">
        <v>32566.14</v>
      </c>
      <c r="N455">
        <v>10783.86</v>
      </c>
    </row>
    <row r="456" spans="1:14" x14ac:dyDescent="0.25">
      <c r="A456" t="s">
        <v>524</v>
      </c>
      <c r="B456">
        <v>45693</v>
      </c>
      <c r="C456" t="s">
        <v>43</v>
      </c>
      <c r="D456" t="s">
        <v>50</v>
      </c>
      <c r="E456" t="s">
        <v>29</v>
      </c>
      <c r="F456" t="s">
        <v>47</v>
      </c>
      <c r="G456" t="s">
        <v>68</v>
      </c>
      <c r="H456" t="s">
        <v>55</v>
      </c>
      <c r="I456">
        <v>4</v>
      </c>
      <c r="J456">
        <v>6500</v>
      </c>
      <c r="K456">
        <v>0.15</v>
      </c>
      <c r="L456">
        <v>22100</v>
      </c>
      <c r="M456">
        <v>17720.509999999998</v>
      </c>
      <c r="N456">
        <v>4379.49</v>
      </c>
    </row>
    <row r="457" spans="1:14" x14ac:dyDescent="0.25">
      <c r="A457" t="s">
        <v>525</v>
      </c>
      <c r="B457">
        <v>45968</v>
      </c>
      <c r="C457" t="s">
        <v>15</v>
      </c>
      <c r="D457" t="s">
        <v>128</v>
      </c>
      <c r="E457" t="s">
        <v>29</v>
      </c>
      <c r="F457" t="s">
        <v>47</v>
      </c>
      <c r="G457" t="s">
        <v>48</v>
      </c>
      <c r="H457" t="s">
        <v>70</v>
      </c>
      <c r="I457">
        <v>2</v>
      </c>
      <c r="J457">
        <v>4200</v>
      </c>
      <c r="K457">
        <v>0</v>
      </c>
      <c r="L457">
        <v>8400</v>
      </c>
      <c r="M457">
        <v>6099.18</v>
      </c>
      <c r="N457">
        <v>2300.8200000000002</v>
      </c>
    </row>
    <row r="458" spans="1:14" x14ac:dyDescent="0.25">
      <c r="A458" t="s">
        <v>526</v>
      </c>
      <c r="B458">
        <v>45724</v>
      </c>
      <c r="C458" t="s">
        <v>15</v>
      </c>
      <c r="D458" t="s">
        <v>22</v>
      </c>
      <c r="E458" t="s">
        <v>17</v>
      </c>
      <c r="F458" t="s">
        <v>18</v>
      </c>
      <c r="G458" t="s">
        <v>99</v>
      </c>
      <c r="H458" t="s">
        <v>55</v>
      </c>
      <c r="I458">
        <v>7</v>
      </c>
      <c r="J458">
        <v>14500</v>
      </c>
      <c r="K458">
        <v>0.05</v>
      </c>
      <c r="L458">
        <v>96425</v>
      </c>
      <c r="M458">
        <v>79690.710000000006</v>
      </c>
      <c r="N458">
        <v>16734.29</v>
      </c>
    </row>
    <row r="459" spans="1:14" x14ac:dyDescent="0.25">
      <c r="A459" t="s">
        <v>527</v>
      </c>
      <c r="B459">
        <v>45904</v>
      </c>
      <c r="C459" t="s">
        <v>27</v>
      </c>
      <c r="D459" t="s">
        <v>118</v>
      </c>
      <c r="E459" t="s">
        <v>17</v>
      </c>
      <c r="F459" t="s">
        <v>78</v>
      </c>
      <c r="G459" t="s">
        <v>79</v>
      </c>
      <c r="H459" t="s">
        <v>20</v>
      </c>
      <c r="I459">
        <v>5</v>
      </c>
      <c r="J459">
        <v>250</v>
      </c>
      <c r="K459">
        <v>0.15</v>
      </c>
      <c r="L459">
        <v>1062.5</v>
      </c>
      <c r="M459">
        <v>837.77</v>
      </c>
      <c r="N459">
        <v>224.73</v>
      </c>
    </row>
    <row r="460" spans="1:14" x14ac:dyDescent="0.25">
      <c r="A460" t="s">
        <v>528</v>
      </c>
      <c r="B460">
        <v>45700</v>
      </c>
      <c r="C460" t="s">
        <v>33</v>
      </c>
      <c r="D460" t="s">
        <v>73</v>
      </c>
      <c r="E460" t="s">
        <v>29</v>
      </c>
      <c r="F460" t="s">
        <v>47</v>
      </c>
      <c r="G460" t="s">
        <v>68</v>
      </c>
      <c r="H460" t="s">
        <v>41</v>
      </c>
      <c r="I460">
        <v>1</v>
      </c>
      <c r="J460">
        <v>6500</v>
      </c>
      <c r="K460">
        <v>0</v>
      </c>
      <c r="L460">
        <v>6500</v>
      </c>
      <c r="M460">
        <v>4773.26</v>
      </c>
      <c r="N460">
        <v>1726.74</v>
      </c>
    </row>
    <row r="461" spans="1:14" x14ac:dyDescent="0.25">
      <c r="A461" t="s">
        <v>529</v>
      </c>
      <c r="B461">
        <v>45850</v>
      </c>
      <c r="C461" t="s">
        <v>43</v>
      </c>
      <c r="D461" t="s">
        <v>44</v>
      </c>
      <c r="E461" t="s">
        <v>29</v>
      </c>
      <c r="F461" t="s">
        <v>30</v>
      </c>
      <c r="G461" t="s">
        <v>31</v>
      </c>
      <c r="H461" t="s">
        <v>20</v>
      </c>
      <c r="I461">
        <v>7</v>
      </c>
      <c r="J461">
        <v>7000</v>
      </c>
      <c r="K461">
        <v>0.1</v>
      </c>
      <c r="L461">
        <v>44100</v>
      </c>
      <c r="M461">
        <v>29877.16</v>
      </c>
      <c r="N461">
        <v>14222.84</v>
      </c>
    </row>
    <row r="462" spans="1:14" x14ac:dyDescent="0.25">
      <c r="A462" t="s">
        <v>530</v>
      </c>
      <c r="B462">
        <v>45932</v>
      </c>
      <c r="C462" t="s">
        <v>27</v>
      </c>
      <c r="D462" t="s">
        <v>118</v>
      </c>
      <c r="E462" t="s">
        <v>17</v>
      </c>
      <c r="F462" t="s">
        <v>18</v>
      </c>
      <c r="G462" t="s">
        <v>99</v>
      </c>
      <c r="H462" t="s">
        <v>20</v>
      </c>
      <c r="I462">
        <v>7</v>
      </c>
      <c r="J462">
        <v>14500</v>
      </c>
      <c r="K462">
        <v>0.15</v>
      </c>
      <c r="L462">
        <v>86275</v>
      </c>
      <c r="M462">
        <v>56882.69</v>
      </c>
      <c r="N462">
        <v>29392.31</v>
      </c>
    </row>
    <row r="463" spans="1:14" x14ac:dyDescent="0.25">
      <c r="A463" t="s">
        <v>531</v>
      </c>
      <c r="B463">
        <v>45944</v>
      </c>
      <c r="C463" t="s">
        <v>27</v>
      </c>
      <c r="D463" t="s">
        <v>118</v>
      </c>
      <c r="E463" t="s">
        <v>29</v>
      </c>
      <c r="F463" t="s">
        <v>30</v>
      </c>
      <c r="G463" t="s">
        <v>51</v>
      </c>
      <c r="H463" t="s">
        <v>45</v>
      </c>
      <c r="I463">
        <v>3</v>
      </c>
      <c r="J463">
        <v>25000</v>
      </c>
      <c r="K463">
        <v>0</v>
      </c>
      <c r="L463">
        <v>75000</v>
      </c>
      <c r="M463">
        <v>58838.93</v>
      </c>
      <c r="N463">
        <v>16161.07</v>
      </c>
    </row>
    <row r="464" spans="1:14" x14ac:dyDescent="0.25">
      <c r="A464" t="s">
        <v>532</v>
      </c>
      <c r="B464">
        <v>45886</v>
      </c>
      <c r="C464" t="s">
        <v>43</v>
      </c>
      <c r="D464" t="s">
        <v>53</v>
      </c>
      <c r="E464" t="s">
        <v>23</v>
      </c>
      <c r="F464" t="s">
        <v>39</v>
      </c>
      <c r="G464" t="s">
        <v>40</v>
      </c>
      <c r="H464" t="s">
        <v>37</v>
      </c>
      <c r="I464">
        <v>1</v>
      </c>
      <c r="J464">
        <v>1800</v>
      </c>
      <c r="K464">
        <v>0.05</v>
      </c>
      <c r="L464">
        <v>1710</v>
      </c>
      <c r="M464">
        <v>1206.58</v>
      </c>
      <c r="N464">
        <v>503.42</v>
      </c>
    </row>
    <row r="465" spans="1:14" x14ac:dyDescent="0.25">
      <c r="A465" t="s">
        <v>533</v>
      </c>
      <c r="B465">
        <v>45983</v>
      </c>
      <c r="C465" t="s">
        <v>15</v>
      </c>
      <c r="D465" t="s">
        <v>16</v>
      </c>
      <c r="E465" t="s">
        <v>23</v>
      </c>
      <c r="F465" t="s">
        <v>35</v>
      </c>
      <c r="G465" t="s">
        <v>136</v>
      </c>
      <c r="H465" t="s">
        <v>45</v>
      </c>
      <c r="I465">
        <v>2</v>
      </c>
      <c r="J465">
        <v>22000</v>
      </c>
      <c r="K465">
        <v>0</v>
      </c>
      <c r="L465">
        <v>44000</v>
      </c>
      <c r="M465">
        <v>29826.73</v>
      </c>
      <c r="N465">
        <v>14173.27</v>
      </c>
    </row>
    <row r="466" spans="1:14" x14ac:dyDescent="0.25">
      <c r="A466" t="s">
        <v>534</v>
      </c>
      <c r="B466">
        <v>45847</v>
      </c>
      <c r="C466" t="s">
        <v>15</v>
      </c>
      <c r="D466" t="s">
        <v>16</v>
      </c>
      <c r="E466" t="s">
        <v>17</v>
      </c>
      <c r="F466" t="s">
        <v>18</v>
      </c>
      <c r="G466" t="s">
        <v>99</v>
      </c>
      <c r="H466" t="s">
        <v>70</v>
      </c>
      <c r="I466">
        <v>5</v>
      </c>
      <c r="J466">
        <v>14500</v>
      </c>
      <c r="K466">
        <v>0</v>
      </c>
      <c r="L466">
        <v>72500</v>
      </c>
      <c r="M466">
        <v>60034.17</v>
      </c>
      <c r="N466">
        <v>12465.83</v>
      </c>
    </row>
    <row r="467" spans="1:14" x14ac:dyDescent="0.25">
      <c r="A467" t="s">
        <v>535</v>
      </c>
      <c r="B467">
        <v>45747</v>
      </c>
      <c r="C467" t="s">
        <v>27</v>
      </c>
      <c r="D467" t="s">
        <v>57</v>
      </c>
      <c r="E467" t="s">
        <v>23</v>
      </c>
      <c r="F467" t="s">
        <v>24</v>
      </c>
      <c r="G467" t="s">
        <v>76</v>
      </c>
      <c r="H467" t="s">
        <v>70</v>
      </c>
      <c r="I467">
        <v>5</v>
      </c>
      <c r="J467">
        <v>49000</v>
      </c>
      <c r="K467">
        <v>0.05</v>
      </c>
      <c r="L467">
        <v>232750</v>
      </c>
      <c r="M467">
        <v>146025.97</v>
      </c>
      <c r="N467">
        <v>86724.03</v>
      </c>
    </row>
    <row r="468" spans="1:14" x14ac:dyDescent="0.25">
      <c r="A468" t="s">
        <v>536</v>
      </c>
      <c r="B468">
        <v>45964</v>
      </c>
      <c r="C468" t="s">
        <v>43</v>
      </c>
      <c r="D468" t="s">
        <v>75</v>
      </c>
      <c r="E468" t="s">
        <v>17</v>
      </c>
      <c r="F468" t="s">
        <v>78</v>
      </c>
      <c r="G468" t="s">
        <v>79</v>
      </c>
      <c r="H468" t="s">
        <v>20</v>
      </c>
      <c r="I468">
        <v>1</v>
      </c>
      <c r="J468">
        <v>250</v>
      </c>
      <c r="K468">
        <v>0.05</v>
      </c>
      <c r="L468">
        <v>237.5</v>
      </c>
      <c r="M468">
        <v>151.79</v>
      </c>
      <c r="N468">
        <v>85.71</v>
      </c>
    </row>
    <row r="469" spans="1:14" x14ac:dyDescent="0.25">
      <c r="A469" t="s">
        <v>537</v>
      </c>
      <c r="B469">
        <v>45799</v>
      </c>
      <c r="C469" t="s">
        <v>27</v>
      </c>
      <c r="D469" t="s">
        <v>118</v>
      </c>
      <c r="E469" t="s">
        <v>17</v>
      </c>
      <c r="F469" t="s">
        <v>18</v>
      </c>
      <c r="G469" t="s">
        <v>99</v>
      </c>
      <c r="H469" t="s">
        <v>70</v>
      </c>
      <c r="I469">
        <v>4</v>
      </c>
      <c r="J469">
        <v>14500</v>
      </c>
      <c r="K469">
        <v>0</v>
      </c>
      <c r="L469">
        <v>58000</v>
      </c>
      <c r="M469">
        <v>45363.17</v>
      </c>
      <c r="N469">
        <v>12636.83</v>
      </c>
    </row>
    <row r="470" spans="1:14" x14ac:dyDescent="0.25">
      <c r="A470" t="s">
        <v>538</v>
      </c>
      <c r="B470">
        <v>45693</v>
      </c>
      <c r="C470" t="s">
        <v>15</v>
      </c>
      <c r="D470" t="s">
        <v>67</v>
      </c>
      <c r="E470" t="s">
        <v>17</v>
      </c>
      <c r="F470" t="s">
        <v>18</v>
      </c>
      <c r="G470" t="s">
        <v>99</v>
      </c>
      <c r="H470" t="s">
        <v>37</v>
      </c>
      <c r="I470">
        <v>4</v>
      </c>
      <c r="J470">
        <v>14500</v>
      </c>
      <c r="K470">
        <v>0.05</v>
      </c>
      <c r="L470">
        <v>55100</v>
      </c>
      <c r="M470">
        <v>39674.589999999997</v>
      </c>
      <c r="N470">
        <v>15425.41</v>
      </c>
    </row>
    <row r="471" spans="1:14" x14ac:dyDescent="0.25">
      <c r="A471" t="s">
        <v>539</v>
      </c>
      <c r="B471">
        <v>45864</v>
      </c>
      <c r="C471" t="s">
        <v>15</v>
      </c>
      <c r="D471" t="s">
        <v>67</v>
      </c>
      <c r="E471" t="s">
        <v>23</v>
      </c>
      <c r="F471" t="s">
        <v>35</v>
      </c>
      <c r="G471" t="s">
        <v>136</v>
      </c>
      <c r="H471" t="s">
        <v>55</v>
      </c>
      <c r="I471">
        <v>2</v>
      </c>
      <c r="J471">
        <v>22000</v>
      </c>
      <c r="K471">
        <v>0.1</v>
      </c>
      <c r="L471">
        <v>39600</v>
      </c>
      <c r="M471">
        <v>27513.78</v>
      </c>
      <c r="N471">
        <v>12086.22</v>
      </c>
    </row>
    <row r="472" spans="1:14" x14ac:dyDescent="0.25">
      <c r="A472" t="s">
        <v>540</v>
      </c>
      <c r="B472">
        <v>45717</v>
      </c>
      <c r="C472" t="s">
        <v>33</v>
      </c>
      <c r="D472" t="s">
        <v>63</v>
      </c>
      <c r="E472" t="s">
        <v>17</v>
      </c>
      <c r="F472" t="s">
        <v>18</v>
      </c>
      <c r="G472" t="s">
        <v>99</v>
      </c>
      <c r="H472" t="s">
        <v>70</v>
      </c>
      <c r="I472">
        <v>8</v>
      </c>
      <c r="J472">
        <v>14500</v>
      </c>
      <c r="K472">
        <v>0.05</v>
      </c>
      <c r="L472">
        <v>110200</v>
      </c>
      <c r="M472">
        <v>86688.18</v>
      </c>
      <c r="N472">
        <v>23511.82</v>
      </c>
    </row>
    <row r="473" spans="1:14" x14ac:dyDescent="0.25">
      <c r="A473" t="s">
        <v>541</v>
      </c>
      <c r="B473">
        <v>45892</v>
      </c>
      <c r="C473" t="s">
        <v>27</v>
      </c>
      <c r="D473" t="s">
        <v>61</v>
      </c>
      <c r="E473" t="s">
        <v>29</v>
      </c>
      <c r="F473" t="s">
        <v>47</v>
      </c>
      <c r="G473" t="s">
        <v>84</v>
      </c>
      <c r="H473" t="s">
        <v>55</v>
      </c>
      <c r="I473">
        <v>7</v>
      </c>
      <c r="J473">
        <v>10500</v>
      </c>
      <c r="K473">
        <v>0.05</v>
      </c>
      <c r="L473">
        <v>69825</v>
      </c>
      <c r="M473">
        <v>53689.9</v>
      </c>
      <c r="N473">
        <v>16135.1</v>
      </c>
    </row>
    <row r="474" spans="1:14" x14ac:dyDescent="0.25">
      <c r="A474" t="s">
        <v>542</v>
      </c>
      <c r="B474">
        <v>45775</v>
      </c>
      <c r="C474" t="s">
        <v>33</v>
      </c>
      <c r="D474" t="s">
        <v>73</v>
      </c>
      <c r="E474" t="s">
        <v>29</v>
      </c>
      <c r="F474" t="s">
        <v>47</v>
      </c>
      <c r="G474" t="s">
        <v>48</v>
      </c>
      <c r="H474" t="s">
        <v>37</v>
      </c>
      <c r="I474">
        <v>4</v>
      </c>
      <c r="J474">
        <v>4200</v>
      </c>
      <c r="K474">
        <v>0.1</v>
      </c>
      <c r="L474">
        <v>15120</v>
      </c>
      <c r="M474">
        <v>9683.7900000000009</v>
      </c>
      <c r="N474">
        <v>5436.21</v>
      </c>
    </row>
    <row r="475" spans="1:14" x14ac:dyDescent="0.25">
      <c r="A475" t="s">
        <v>543</v>
      </c>
      <c r="B475">
        <v>46002</v>
      </c>
      <c r="C475" t="s">
        <v>33</v>
      </c>
      <c r="D475" t="s">
        <v>34</v>
      </c>
      <c r="E475" t="s">
        <v>17</v>
      </c>
      <c r="F475" t="s">
        <v>78</v>
      </c>
      <c r="G475" t="s">
        <v>79</v>
      </c>
      <c r="H475" t="s">
        <v>37</v>
      </c>
      <c r="I475">
        <v>6</v>
      </c>
      <c r="J475">
        <v>250</v>
      </c>
      <c r="K475">
        <v>0.05</v>
      </c>
      <c r="L475">
        <v>1425</v>
      </c>
      <c r="M475">
        <v>1163.8699999999999</v>
      </c>
      <c r="N475">
        <v>261.13</v>
      </c>
    </row>
    <row r="476" spans="1:14" x14ac:dyDescent="0.25">
      <c r="A476" t="s">
        <v>544</v>
      </c>
      <c r="B476">
        <v>45795</v>
      </c>
      <c r="C476" t="s">
        <v>43</v>
      </c>
      <c r="D476" t="s">
        <v>75</v>
      </c>
      <c r="E476" t="s">
        <v>29</v>
      </c>
      <c r="F476" t="s">
        <v>47</v>
      </c>
      <c r="G476" t="s">
        <v>68</v>
      </c>
      <c r="H476" t="s">
        <v>41</v>
      </c>
      <c r="I476">
        <v>4</v>
      </c>
      <c r="J476">
        <v>6500</v>
      </c>
      <c r="K476">
        <v>0.1</v>
      </c>
      <c r="L476">
        <v>23400</v>
      </c>
      <c r="M476">
        <v>15572.5</v>
      </c>
      <c r="N476">
        <v>7827.5</v>
      </c>
    </row>
    <row r="477" spans="1:14" x14ac:dyDescent="0.25">
      <c r="A477" t="s">
        <v>545</v>
      </c>
      <c r="B477">
        <v>45761</v>
      </c>
      <c r="C477" t="s">
        <v>43</v>
      </c>
      <c r="D477" t="s">
        <v>44</v>
      </c>
      <c r="E477" t="s">
        <v>23</v>
      </c>
      <c r="F477" t="s">
        <v>24</v>
      </c>
      <c r="G477" t="s">
        <v>25</v>
      </c>
      <c r="H477" t="s">
        <v>55</v>
      </c>
      <c r="I477">
        <v>8</v>
      </c>
      <c r="J477">
        <v>52000</v>
      </c>
      <c r="K477">
        <v>0</v>
      </c>
      <c r="L477">
        <v>416000</v>
      </c>
      <c r="M477">
        <v>327863.63</v>
      </c>
      <c r="N477">
        <v>88136.37</v>
      </c>
    </row>
    <row r="478" spans="1:14" x14ac:dyDescent="0.25">
      <c r="A478" t="s">
        <v>546</v>
      </c>
      <c r="B478">
        <v>45935</v>
      </c>
      <c r="C478" t="s">
        <v>15</v>
      </c>
      <c r="D478" t="s">
        <v>22</v>
      </c>
      <c r="E478" t="s">
        <v>29</v>
      </c>
      <c r="F478" t="s">
        <v>30</v>
      </c>
      <c r="G478" t="s">
        <v>54</v>
      </c>
      <c r="H478" t="s">
        <v>70</v>
      </c>
      <c r="I478">
        <v>5</v>
      </c>
      <c r="J478">
        <v>12000</v>
      </c>
      <c r="K478">
        <v>0.15</v>
      </c>
      <c r="L478">
        <v>51000</v>
      </c>
      <c r="M478">
        <v>33671.82</v>
      </c>
      <c r="N478">
        <v>17328.18</v>
      </c>
    </row>
    <row r="479" spans="1:14" x14ac:dyDescent="0.25">
      <c r="A479" t="s">
        <v>547</v>
      </c>
      <c r="B479">
        <v>45919</v>
      </c>
      <c r="C479" t="s">
        <v>33</v>
      </c>
      <c r="D479" t="s">
        <v>73</v>
      </c>
      <c r="E479" t="s">
        <v>23</v>
      </c>
      <c r="F479" t="s">
        <v>39</v>
      </c>
      <c r="G479" t="s">
        <v>89</v>
      </c>
      <c r="H479" t="s">
        <v>55</v>
      </c>
      <c r="I479">
        <v>7</v>
      </c>
      <c r="J479">
        <v>1200</v>
      </c>
      <c r="K479">
        <v>0.15</v>
      </c>
      <c r="L479">
        <v>7140</v>
      </c>
      <c r="M479">
        <v>5902.81</v>
      </c>
      <c r="N479">
        <v>1237.19</v>
      </c>
    </row>
    <row r="480" spans="1:14" x14ac:dyDescent="0.25">
      <c r="A480" t="s">
        <v>548</v>
      </c>
      <c r="B480">
        <v>45674</v>
      </c>
      <c r="C480" t="s">
        <v>33</v>
      </c>
      <c r="D480" t="s">
        <v>73</v>
      </c>
      <c r="E480" t="s">
        <v>17</v>
      </c>
      <c r="F480" t="s">
        <v>78</v>
      </c>
      <c r="G480" t="s">
        <v>79</v>
      </c>
      <c r="H480" t="s">
        <v>55</v>
      </c>
      <c r="I480">
        <v>8</v>
      </c>
      <c r="J480">
        <v>250</v>
      </c>
      <c r="K480">
        <v>0.1</v>
      </c>
      <c r="L480">
        <v>1800</v>
      </c>
      <c r="M480">
        <v>1388.93</v>
      </c>
      <c r="N480">
        <v>411.07</v>
      </c>
    </row>
    <row r="481" spans="1:14" x14ac:dyDescent="0.25">
      <c r="A481" t="s">
        <v>549</v>
      </c>
      <c r="B481">
        <v>45664</v>
      </c>
      <c r="C481" t="s">
        <v>43</v>
      </c>
      <c r="D481" t="s">
        <v>50</v>
      </c>
      <c r="E481" t="s">
        <v>17</v>
      </c>
      <c r="F481" t="s">
        <v>78</v>
      </c>
      <c r="G481" t="s">
        <v>79</v>
      </c>
      <c r="H481" t="s">
        <v>37</v>
      </c>
      <c r="I481">
        <v>5</v>
      </c>
      <c r="J481">
        <v>250</v>
      </c>
      <c r="K481">
        <v>0.05</v>
      </c>
      <c r="L481">
        <v>1187.5</v>
      </c>
      <c r="M481">
        <v>879.56</v>
      </c>
      <c r="N481">
        <v>307.94</v>
      </c>
    </row>
    <row r="482" spans="1:14" x14ac:dyDescent="0.25">
      <c r="A482" t="s">
        <v>550</v>
      </c>
      <c r="B482">
        <v>45779</v>
      </c>
      <c r="C482" t="s">
        <v>33</v>
      </c>
      <c r="D482" t="s">
        <v>73</v>
      </c>
      <c r="E482" t="s">
        <v>17</v>
      </c>
      <c r="F482" t="s">
        <v>18</v>
      </c>
      <c r="G482" t="s">
        <v>99</v>
      </c>
      <c r="H482" t="s">
        <v>20</v>
      </c>
      <c r="I482">
        <v>8</v>
      </c>
      <c r="J482">
        <v>14500</v>
      </c>
      <c r="K482">
        <v>0.15</v>
      </c>
      <c r="L482">
        <v>98600</v>
      </c>
      <c r="M482">
        <v>65698.87</v>
      </c>
      <c r="N482">
        <v>32901.129999999997</v>
      </c>
    </row>
    <row r="483" spans="1:14" x14ac:dyDescent="0.25">
      <c r="A483" t="s">
        <v>551</v>
      </c>
      <c r="B483">
        <v>46016</v>
      </c>
      <c r="C483" t="s">
        <v>33</v>
      </c>
      <c r="D483" t="s">
        <v>63</v>
      </c>
      <c r="E483" t="s">
        <v>29</v>
      </c>
      <c r="F483" t="s">
        <v>30</v>
      </c>
      <c r="G483" t="s">
        <v>54</v>
      </c>
      <c r="H483" t="s">
        <v>20</v>
      </c>
      <c r="I483">
        <v>3</v>
      </c>
      <c r="J483">
        <v>12000</v>
      </c>
      <c r="K483">
        <v>0.05</v>
      </c>
      <c r="L483">
        <v>34200</v>
      </c>
      <c r="M483">
        <v>27329.97</v>
      </c>
      <c r="N483">
        <v>6870.03</v>
      </c>
    </row>
    <row r="484" spans="1:14" x14ac:dyDescent="0.25">
      <c r="A484" t="s">
        <v>552</v>
      </c>
      <c r="B484">
        <v>45796</v>
      </c>
      <c r="C484" t="s">
        <v>43</v>
      </c>
      <c r="D484" t="s">
        <v>50</v>
      </c>
      <c r="E484" t="s">
        <v>29</v>
      </c>
      <c r="F484" t="s">
        <v>47</v>
      </c>
      <c r="G484" t="s">
        <v>68</v>
      </c>
      <c r="H484" t="s">
        <v>41</v>
      </c>
      <c r="I484">
        <v>3</v>
      </c>
      <c r="J484">
        <v>6500</v>
      </c>
      <c r="K484">
        <v>0.15</v>
      </c>
      <c r="L484">
        <v>16575</v>
      </c>
      <c r="M484">
        <v>13214.37</v>
      </c>
      <c r="N484">
        <v>3360.63</v>
      </c>
    </row>
    <row r="485" spans="1:14" x14ac:dyDescent="0.25">
      <c r="A485" t="s">
        <v>553</v>
      </c>
      <c r="B485">
        <v>45748</v>
      </c>
      <c r="C485" t="s">
        <v>27</v>
      </c>
      <c r="D485" t="s">
        <v>57</v>
      </c>
      <c r="E485" t="s">
        <v>23</v>
      </c>
      <c r="F485" t="s">
        <v>39</v>
      </c>
      <c r="G485" t="s">
        <v>93</v>
      </c>
      <c r="H485" t="s">
        <v>70</v>
      </c>
      <c r="I485">
        <v>6</v>
      </c>
      <c r="J485">
        <v>2500</v>
      </c>
      <c r="K485">
        <v>0.15</v>
      </c>
      <c r="L485">
        <v>12750</v>
      </c>
      <c r="M485">
        <v>8746.6</v>
      </c>
      <c r="N485">
        <v>4003.4</v>
      </c>
    </row>
    <row r="486" spans="1:14" x14ac:dyDescent="0.25">
      <c r="A486" t="s">
        <v>554</v>
      </c>
      <c r="B486">
        <v>45945</v>
      </c>
      <c r="C486" t="s">
        <v>15</v>
      </c>
      <c r="D486" t="s">
        <v>22</v>
      </c>
      <c r="E486" t="s">
        <v>23</v>
      </c>
      <c r="F486" t="s">
        <v>39</v>
      </c>
      <c r="G486" t="s">
        <v>89</v>
      </c>
      <c r="H486" t="s">
        <v>55</v>
      </c>
      <c r="I486">
        <v>4</v>
      </c>
      <c r="J486">
        <v>1200</v>
      </c>
      <c r="K486">
        <v>0.1</v>
      </c>
      <c r="L486">
        <v>4320</v>
      </c>
      <c r="M486">
        <v>3131.3</v>
      </c>
      <c r="N486">
        <v>1188.7</v>
      </c>
    </row>
    <row r="487" spans="1:14" x14ac:dyDescent="0.25">
      <c r="A487" t="s">
        <v>555</v>
      </c>
      <c r="B487">
        <v>45980</v>
      </c>
      <c r="C487" t="s">
        <v>15</v>
      </c>
      <c r="D487" t="s">
        <v>22</v>
      </c>
      <c r="E487" t="s">
        <v>17</v>
      </c>
      <c r="F487" t="s">
        <v>18</v>
      </c>
      <c r="G487" t="s">
        <v>99</v>
      </c>
      <c r="H487" t="s">
        <v>37</v>
      </c>
      <c r="I487">
        <v>6</v>
      </c>
      <c r="J487">
        <v>14500</v>
      </c>
      <c r="K487">
        <v>0.1</v>
      </c>
      <c r="L487">
        <v>78300</v>
      </c>
      <c r="M487">
        <v>54474.16</v>
      </c>
      <c r="N487">
        <v>23825.84</v>
      </c>
    </row>
    <row r="488" spans="1:14" x14ac:dyDescent="0.25">
      <c r="A488" t="s">
        <v>556</v>
      </c>
      <c r="B488">
        <v>45868</v>
      </c>
      <c r="C488" t="s">
        <v>15</v>
      </c>
      <c r="D488" t="s">
        <v>67</v>
      </c>
      <c r="E488" t="s">
        <v>17</v>
      </c>
      <c r="F488" t="s">
        <v>78</v>
      </c>
      <c r="G488" t="s">
        <v>91</v>
      </c>
      <c r="H488" t="s">
        <v>70</v>
      </c>
      <c r="I488">
        <v>3</v>
      </c>
      <c r="J488">
        <v>180</v>
      </c>
      <c r="K488">
        <v>0.1</v>
      </c>
      <c r="L488">
        <v>486</v>
      </c>
      <c r="M488">
        <v>339.29</v>
      </c>
      <c r="N488">
        <v>146.71</v>
      </c>
    </row>
    <row r="489" spans="1:14" x14ac:dyDescent="0.25">
      <c r="A489" t="s">
        <v>557</v>
      </c>
      <c r="B489">
        <v>46002</v>
      </c>
      <c r="C489" t="s">
        <v>27</v>
      </c>
      <c r="D489" t="s">
        <v>57</v>
      </c>
      <c r="E489" t="s">
        <v>23</v>
      </c>
      <c r="F489" t="s">
        <v>35</v>
      </c>
      <c r="G489" t="s">
        <v>136</v>
      </c>
      <c r="H489" t="s">
        <v>37</v>
      </c>
      <c r="I489">
        <v>8</v>
      </c>
      <c r="J489">
        <v>22000</v>
      </c>
      <c r="K489">
        <v>0.05</v>
      </c>
      <c r="L489">
        <v>167200</v>
      </c>
      <c r="M489">
        <v>135601.99</v>
      </c>
      <c r="N489">
        <v>31598.01</v>
      </c>
    </row>
    <row r="490" spans="1:14" x14ac:dyDescent="0.25">
      <c r="A490" t="s">
        <v>558</v>
      </c>
      <c r="B490">
        <v>45985</v>
      </c>
      <c r="C490" t="s">
        <v>33</v>
      </c>
      <c r="D490" t="s">
        <v>73</v>
      </c>
      <c r="E490" t="s">
        <v>17</v>
      </c>
      <c r="F490" t="s">
        <v>18</v>
      </c>
      <c r="G490" t="s">
        <v>19</v>
      </c>
      <c r="H490" t="s">
        <v>55</v>
      </c>
      <c r="I490">
        <v>3</v>
      </c>
      <c r="J490">
        <v>8500</v>
      </c>
      <c r="K490">
        <v>0.1</v>
      </c>
      <c r="L490">
        <v>22950</v>
      </c>
      <c r="M490">
        <v>15381.27</v>
      </c>
      <c r="N490">
        <v>7568.73</v>
      </c>
    </row>
    <row r="491" spans="1:14" x14ac:dyDescent="0.25">
      <c r="A491" t="s">
        <v>559</v>
      </c>
      <c r="B491">
        <v>45820</v>
      </c>
      <c r="C491" t="s">
        <v>33</v>
      </c>
      <c r="D491" t="s">
        <v>63</v>
      </c>
      <c r="E491" t="s">
        <v>17</v>
      </c>
      <c r="F491" t="s">
        <v>18</v>
      </c>
      <c r="G491" t="s">
        <v>99</v>
      </c>
      <c r="H491" t="s">
        <v>45</v>
      </c>
      <c r="I491">
        <v>6</v>
      </c>
      <c r="J491">
        <v>14500</v>
      </c>
      <c r="K491">
        <v>0.15</v>
      </c>
      <c r="L491">
        <v>73950</v>
      </c>
      <c r="M491">
        <v>52584.19</v>
      </c>
      <c r="N491">
        <v>21365.81</v>
      </c>
    </row>
    <row r="492" spans="1:14" x14ac:dyDescent="0.25">
      <c r="A492" t="s">
        <v>560</v>
      </c>
      <c r="B492">
        <v>45752</v>
      </c>
      <c r="C492" t="s">
        <v>15</v>
      </c>
      <c r="D492" t="s">
        <v>128</v>
      </c>
      <c r="E492" t="s">
        <v>17</v>
      </c>
      <c r="F492" t="s">
        <v>78</v>
      </c>
      <c r="G492" t="s">
        <v>91</v>
      </c>
      <c r="H492" t="s">
        <v>37</v>
      </c>
      <c r="I492">
        <v>2</v>
      </c>
      <c r="J492">
        <v>180</v>
      </c>
      <c r="K492">
        <v>0.05</v>
      </c>
      <c r="L492">
        <v>342</v>
      </c>
      <c r="M492">
        <v>224.6</v>
      </c>
      <c r="N492">
        <v>117.4</v>
      </c>
    </row>
    <row r="493" spans="1:14" x14ac:dyDescent="0.25">
      <c r="A493" t="s">
        <v>561</v>
      </c>
      <c r="B493">
        <v>45710</v>
      </c>
      <c r="C493" t="s">
        <v>15</v>
      </c>
      <c r="D493" t="s">
        <v>16</v>
      </c>
      <c r="E493" t="s">
        <v>29</v>
      </c>
      <c r="F493" t="s">
        <v>47</v>
      </c>
      <c r="G493" t="s">
        <v>68</v>
      </c>
      <c r="H493" t="s">
        <v>45</v>
      </c>
      <c r="I493">
        <v>2</v>
      </c>
      <c r="J493">
        <v>6500</v>
      </c>
      <c r="K493">
        <v>0</v>
      </c>
      <c r="L493">
        <v>13000</v>
      </c>
      <c r="M493">
        <v>8810.61</v>
      </c>
      <c r="N493">
        <v>4189.3900000000003</v>
      </c>
    </row>
    <row r="494" spans="1:14" x14ac:dyDescent="0.25">
      <c r="A494" t="s">
        <v>562</v>
      </c>
      <c r="B494">
        <v>45737</v>
      </c>
      <c r="C494" t="s">
        <v>15</v>
      </c>
      <c r="D494" t="s">
        <v>22</v>
      </c>
      <c r="E494" t="s">
        <v>29</v>
      </c>
      <c r="F494" t="s">
        <v>47</v>
      </c>
      <c r="G494" t="s">
        <v>68</v>
      </c>
      <c r="H494" t="s">
        <v>41</v>
      </c>
      <c r="I494">
        <v>5</v>
      </c>
      <c r="J494">
        <v>6500</v>
      </c>
      <c r="K494">
        <v>0.15</v>
      </c>
      <c r="L494">
        <v>27625</v>
      </c>
      <c r="M494">
        <v>20934.939999999999</v>
      </c>
      <c r="N494">
        <v>6690.06</v>
      </c>
    </row>
    <row r="495" spans="1:14" x14ac:dyDescent="0.25">
      <c r="A495" t="s">
        <v>563</v>
      </c>
      <c r="B495">
        <v>45725</v>
      </c>
      <c r="C495" t="s">
        <v>43</v>
      </c>
      <c r="D495" t="s">
        <v>53</v>
      </c>
      <c r="E495" t="s">
        <v>23</v>
      </c>
      <c r="F495" t="s">
        <v>39</v>
      </c>
      <c r="G495" t="s">
        <v>40</v>
      </c>
      <c r="H495" t="s">
        <v>37</v>
      </c>
      <c r="I495">
        <v>8</v>
      </c>
      <c r="J495">
        <v>1800</v>
      </c>
      <c r="K495">
        <v>0.15</v>
      </c>
      <c r="L495">
        <v>12240</v>
      </c>
      <c r="M495">
        <v>10214.23</v>
      </c>
      <c r="N495">
        <v>2025.77</v>
      </c>
    </row>
    <row r="496" spans="1:14" x14ac:dyDescent="0.25">
      <c r="A496" t="s">
        <v>564</v>
      </c>
      <c r="B496">
        <v>45934</v>
      </c>
      <c r="C496" t="s">
        <v>33</v>
      </c>
      <c r="D496" t="s">
        <v>73</v>
      </c>
      <c r="E496" t="s">
        <v>23</v>
      </c>
      <c r="F496" t="s">
        <v>39</v>
      </c>
      <c r="G496" t="s">
        <v>93</v>
      </c>
      <c r="H496" t="s">
        <v>20</v>
      </c>
      <c r="I496">
        <v>8</v>
      </c>
      <c r="J496">
        <v>2500</v>
      </c>
      <c r="K496">
        <v>0.15</v>
      </c>
      <c r="L496">
        <v>17000</v>
      </c>
      <c r="M496">
        <v>12497.74</v>
      </c>
      <c r="N496">
        <v>4502.26</v>
      </c>
    </row>
    <row r="497" spans="1:14" x14ac:dyDescent="0.25">
      <c r="A497" t="s">
        <v>565</v>
      </c>
      <c r="B497">
        <v>45985</v>
      </c>
      <c r="C497" t="s">
        <v>33</v>
      </c>
      <c r="D497" t="s">
        <v>63</v>
      </c>
      <c r="E497" t="s">
        <v>29</v>
      </c>
      <c r="F497" t="s">
        <v>47</v>
      </c>
      <c r="G497" t="s">
        <v>68</v>
      </c>
      <c r="H497" t="s">
        <v>45</v>
      </c>
      <c r="I497">
        <v>5</v>
      </c>
      <c r="J497">
        <v>6500</v>
      </c>
      <c r="K497">
        <v>0.1</v>
      </c>
      <c r="L497">
        <v>29250</v>
      </c>
      <c r="M497">
        <v>20787.53</v>
      </c>
      <c r="N497">
        <v>8462.4699999999993</v>
      </c>
    </row>
    <row r="498" spans="1:14" x14ac:dyDescent="0.25">
      <c r="A498" t="s">
        <v>566</v>
      </c>
      <c r="B498">
        <v>45737</v>
      </c>
      <c r="C498" t="s">
        <v>33</v>
      </c>
      <c r="D498" t="s">
        <v>34</v>
      </c>
      <c r="E498" t="s">
        <v>23</v>
      </c>
      <c r="F498" t="s">
        <v>39</v>
      </c>
      <c r="G498" t="s">
        <v>89</v>
      </c>
      <c r="H498" t="s">
        <v>37</v>
      </c>
      <c r="I498">
        <v>5</v>
      </c>
      <c r="J498">
        <v>1200</v>
      </c>
      <c r="K498">
        <v>0.15</v>
      </c>
      <c r="L498">
        <v>5100</v>
      </c>
      <c r="M498">
        <v>3762.38</v>
      </c>
      <c r="N498">
        <v>1337.62</v>
      </c>
    </row>
    <row r="499" spans="1:14" x14ac:dyDescent="0.25">
      <c r="A499" t="s">
        <v>567</v>
      </c>
      <c r="B499">
        <v>46010</v>
      </c>
      <c r="C499" t="s">
        <v>27</v>
      </c>
      <c r="D499" t="s">
        <v>57</v>
      </c>
      <c r="E499" t="s">
        <v>29</v>
      </c>
      <c r="F499" t="s">
        <v>47</v>
      </c>
      <c r="G499" t="s">
        <v>84</v>
      </c>
      <c r="H499" t="s">
        <v>37</v>
      </c>
      <c r="I499">
        <v>4</v>
      </c>
      <c r="J499">
        <v>10500</v>
      </c>
      <c r="K499">
        <v>0</v>
      </c>
      <c r="L499">
        <v>42000</v>
      </c>
      <c r="M499">
        <v>31105.48</v>
      </c>
      <c r="N499">
        <v>10894.52</v>
      </c>
    </row>
    <row r="500" spans="1:14" x14ac:dyDescent="0.25">
      <c r="A500" t="s">
        <v>568</v>
      </c>
      <c r="B500">
        <v>45754</v>
      </c>
      <c r="C500" t="s">
        <v>27</v>
      </c>
      <c r="D500" t="s">
        <v>57</v>
      </c>
      <c r="E500" t="s">
        <v>29</v>
      </c>
      <c r="F500" t="s">
        <v>47</v>
      </c>
      <c r="G500" t="s">
        <v>68</v>
      </c>
      <c r="H500" t="s">
        <v>41</v>
      </c>
      <c r="I500">
        <v>7</v>
      </c>
      <c r="J500">
        <v>6500</v>
      </c>
      <c r="K500">
        <v>0.15</v>
      </c>
      <c r="L500">
        <v>38675</v>
      </c>
      <c r="M500">
        <v>25855.41</v>
      </c>
      <c r="N500">
        <v>12819.59</v>
      </c>
    </row>
    <row r="501" spans="1:14" x14ac:dyDescent="0.25">
      <c r="A501" t="s">
        <v>569</v>
      </c>
      <c r="B501">
        <v>45698</v>
      </c>
      <c r="C501" t="s">
        <v>27</v>
      </c>
      <c r="D501" t="s">
        <v>28</v>
      </c>
      <c r="E501" t="s">
        <v>17</v>
      </c>
      <c r="F501" t="s">
        <v>18</v>
      </c>
      <c r="G501" t="s">
        <v>99</v>
      </c>
      <c r="H501" t="s">
        <v>41</v>
      </c>
      <c r="I501">
        <v>5</v>
      </c>
      <c r="J501">
        <v>14500</v>
      </c>
      <c r="K501">
        <v>0.15</v>
      </c>
      <c r="L501">
        <v>61625</v>
      </c>
      <c r="M501">
        <v>40756.32</v>
      </c>
      <c r="N501">
        <v>20868.68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4B45F-ED70-44B9-9416-16E5C1F798EB}">
  <dimension ref="A1:J4"/>
  <sheetViews>
    <sheetView showGridLines="0" workbookViewId="0">
      <selection activeCell="H27" sqref="H27"/>
    </sheetView>
  </sheetViews>
  <sheetFormatPr defaultRowHeight="15" x14ac:dyDescent="0.25"/>
  <cols>
    <col min="3" max="3" width="120.140625" customWidth="1"/>
  </cols>
  <sheetData>
    <row r="1" spans="1:10" x14ac:dyDescent="0.25">
      <c r="A1" s="35" t="s">
        <v>607</v>
      </c>
      <c r="B1" s="36"/>
      <c r="C1" s="36"/>
      <c r="D1" s="36"/>
      <c r="E1" s="36"/>
      <c r="F1" s="36"/>
      <c r="G1" s="36"/>
      <c r="H1" s="36"/>
      <c r="I1" s="36"/>
      <c r="J1" s="36"/>
    </row>
    <row r="2" spans="1:10" x14ac:dyDescent="0.25">
      <c r="A2" s="36"/>
      <c r="B2" s="36"/>
      <c r="C2" s="36"/>
      <c r="D2" s="36"/>
      <c r="E2" s="36"/>
      <c r="F2" s="36"/>
      <c r="G2" s="36"/>
      <c r="H2" s="36"/>
      <c r="I2" s="36"/>
      <c r="J2" s="36"/>
    </row>
    <row r="4" spans="1:10" ht="19.5" customHeight="1" x14ac:dyDescent="0.35">
      <c r="C4" s="34"/>
    </row>
  </sheetData>
  <mergeCells count="1">
    <mergeCell ref="A1:J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8B1AB-0DA1-491A-9585-8F0F82ABAE27}">
  <dimension ref="A1:F13"/>
  <sheetViews>
    <sheetView workbookViewId="0">
      <selection activeCell="B13" sqref="B13:F13"/>
    </sheetView>
  </sheetViews>
  <sheetFormatPr defaultRowHeight="35.25" customHeight="1" x14ac:dyDescent="0.25"/>
  <cols>
    <col min="1" max="1" width="35.140625" customWidth="1"/>
    <col min="2" max="2" width="53.28515625" customWidth="1"/>
  </cols>
  <sheetData>
    <row r="1" spans="1:6" ht="35.25" customHeight="1" x14ac:dyDescent="0.45">
      <c r="A1" s="30" t="s">
        <v>605</v>
      </c>
    </row>
    <row r="2" spans="1:6" ht="35.25" customHeight="1" x14ac:dyDescent="0.35">
      <c r="A2" s="32" t="s">
        <v>603</v>
      </c>
      <c r="B2" s="31" t="s">
        <v>594</v>
      </c>
    </row>
    <row r="3" spans="1:6" ht="35.25" customHeight="1" x14ac:dyDescent="0.35">
      <c r="A3" s="32" t="s">
        <v>603</v>
      </c>
      <c r="B3" s="31" t="s">
        <v>595</v>
      </c>
    </row>
    <row r="4" spans="1:6" ht="35.25" customHeight="1" x14ac:dyDescent="0.35">
      <c r="A4" s="32" t="s">
        <v>603</v>
      </c>
      <c r="B4" s="31" t="s">
        <v>596</v>
      </c>
    </row>
    <row r="5" spans="1:6" ht="35.25" customHeight="1" x14ac:dyDescent="0.35">
      <c r="A5" s="32" t="s">
        <v>603</v>
      </c>
      <c r="B5" s="31" t="s">
        <v>597</v>
      </c>
    </row>
    <row r="6" spans="1:6" ht="35.25" customHeight="1" x14ac:dyDescent="0.35">
      <c r="A6" s="32" t="s">
        <v>603</v>
      </c>
      <c r="B6" s="31" t="s">
        <v>598</v>
      </c>
    </row>
    <row r="7" spans="1:6" ht="35.25" customHeight="1" x14ac:dyDescent="0.35">
      <c r="A7" s="32" t="s">
        <v>603</v>
      </c>
      <c r="B7" s="31" t="s">
        <v>599</v>
      </c>
    </row>
    <row r="8" spans="1:6" ht="35.25" customHeight="1" x14ac:dyDescent="0.35">
      <c r="A8" s="32" t="s">
        <v>603</v>
      </c>
      <c r="B8" s="31" t="s">
        <v>600</v>
      </c>
    </row>
    <row r="9" spans="1:6" ht="35.25" customHeight="1" x14ac:dyDescent="0.35">
      <c r="A9" s="32" t="s">
        <v>603</v>
      </c>
      <c r="B9" s="31" t="s">
        <v>601</v>
      </c>
    </row>
    <row r="10" spans="1:6" ht="35.25" customHeight="1" x14ac:dyDescent="0.35">
      <c r="A10" s="32" t="s">
        <v>603</v>
      </c>
      <c r="B10" s="12" t="s">
        <v>602</v>
      </c>
    </row>
    <row r="12" spans="1:6" ht="35.25" customHeight="1" x14ac:dyDescent="0.45">
      <c r="A12" s="33" t="s">
        <v>604</v>
      </c>
    </row>
    <row r="13" spans="1:6" ht="35.25" customHeight="1" x14ac:dyDescent="0.35">
      <c r="A13" s="32" t="s">
        <v>603</v>
      </c>
      <c r="B13" s="31" t="s">
        <v>606</v>
      </c>
      <c r="C13" s="31"/>
      <c r="D13" s="31"/>
      <c r="E13" s="31"/>
      <c r="F13"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EC25-92CC-47F1-98BF-285969EB82C3}">
  <dimension ref="A1:Y27"/>
  <sheetViews>
    <sheetView showGridLines="0" tabSelected="1" zoomScale="83" zoomScaleNormal="83" workbookViewId="0">
      <selection activeCell="R11" sqref="R11"/>
    </sheetView>
  </sheetViews>
  <sheetFormatPr defaultColWidth="11.85546875" defaultRowHeight="15" x14ac:dyDescent="0.25"/>
  <cols>
    <col min="1" max="1" width="11.28515625" bestFit="1" customWidth="1"/>
    <col min="2" max="2" width="12.140625" bestFit="1" customWidth="1"/>
    <col min="3" max="3" width="5.42578125" customWidth="1"/>
    <col min="4" max="4" width="15.5703125" bestFit="1" customWidth="1"/>
    <col min="5" max="5" width="12.140625" bestFit="1" customWidth="1"/>
    <col min="6" max="6" width="3.85546875" customWidth="1"/>
    <col min="7" max="7" width="11.28515625" bestFit="1" customWidth="1"/>
    <col min="8" max="8" width="12.140625" bestFit="1" customWidth="1"/>
    <col min="9" max="9" width="7.28515625" customWidth="1"/>
    <col min="10" max="10" width="14.140625" bestFit="1" customWidth="1"/>
    <col min="11" max="11" width="12.140625" bestFit="1" customWidth="1"/>
    <col min="17" max="17" width="21.7109375" customWidth="1"/>
    <col min="18" max="18" width="17.5703125" customWidth="1"/>
  </cols>
  <sheetData>
    <row r="1" spans="1:25" s="2" customFormat="1" ht="15" customHeight="1" x14ac:dyDescent="0.55000000000000004">
      <c r="A1" s="37" t="s">
        <v>585</v>
      </c>
      <c r="B1" s="38"/>
      <c r="C1" s="38"/>
      <c r="D1" s="38"/>
      <c r="E1" s="38"/>
      <c r="F1" s="38"/>
      <c r="G1" s="38"/>
      <c r="H1" s="38"/>
      <c r="I1" s="38"/>
      <c r="J1" s="38"/>
      <c r="K1" s="38"/>
      <c r="L1" s="38"/>
      <c r="M1" s="38"/>
      <c r="N1" s="38"/>
      <c r="O1" s="35"/>
      <c r="P1" s="35"/>
      <c r="Q1" s="35"/>
      <c r="R1" s="35"/>
      <c r="S1" s="3"/>
      <c r="T1" s="3"/>
      <c r="U1" s="3"/>
      <c r="V1" s="3"/>
      <c r="W1" s="3"/>
      <c r="X1" s="3"/>
      <c r="Y1" s="3"/>
    </row>
    <row r="2" spans="1:25" s="2" customFormat="1" ht="15" customHeight="1" x14ac:dyDescent="0.55000000000000004">
      <c r="A2" s="38"/>
      <c r="B2" s="38"/>
      <c r="C2" s="38"/>
      <c r="D2" s="38"/>
      <c r="E2" s="38"/>
      <c r="F2" s="38"/>
      <c r="G2" s="38"/>
      <c r="H2" s="38"/>
      <c r="I2" s="38"/>
      <c r="J2" s="38"/>
      <c r="K2" s="38"/>
      <c r="L2" s="38"/>
      <c r="M2" s="38"/>
      <c r="N2" s="38"/>
      <c r="O2" s="35"/>
      <c r="P2" s="35"/>
      <c r="Q2" s="35"/>
      <c r="R2" s="35"/>
      <c r="S2" s="3"/>
      <c r="T2" s="3"/>
      <c r="U2" s="3"/>
      <c r="V2" s="3"/>
      <c r="W2" s="3"/>
      <c r="X2" s="3"/>
      <c r="Y2" s="3"/>
    </row>
    <row r="3" spans="1:25" ht="15" customHeight="1" x14ac:dyDescent="0.55000000000000004">
      <c r="A3" s="38"/>
      <c r="B3" s="38"/>
      <c r="C3" s="38"/>
      <c r="D3" s="38"/>
      <c r="E3" s="38"/>
      <c r="F3" s="38"/>
      <c r="G3" s="38"/>
      <c r="H3" s="38"/>
      <c r="I3" s="38"/>
      <c r="J3" s="38"/>
      <c r="K3" s="38"/>
      <c r="L3" s="38"/>
      <c r="M3" s="38"/>
      <c r="N3" s="38"/>
      <c r="O3" s="35"/>
      <c r="P3" s="35"/>
      <c r="Q3" s="35"/>
      <c r="R3" s="35"/>
      <c r="S3" s="3"/>
      <c r="T3" s="4"/>
      <c r="U3" s="4"/>
      <c r="V3" s="4"/>
      <c r="W3" s="2"/>
      <c r="X3" s="2"/>
    </row>
    <row r="4" spans="1:25" x14ac:dyDescent="0.25">
      <c r="A4" s="4"/>
      <c r="B4" s="4"/>
      <c r="C4" s="4"/>
      <c r="D4" s="4"/>
      <c r="E4" s="4"/>
      <c r="F4" s="4"/>
      <c r="G4" s="4"/>
      <c r="H4" s="4"/>
      <c r="I4" s="4"/>
      <c r="J4" s="4"/>
      <c r="K4" s="4"/>
      <c r="L4" s="4"/>
      <c r="M4" s="4"/>
      <c r="N4" s="4"/>
      <c r="O4" s="4"/>
      <c r="P4" s="4"/>
      <c r="Q4" s="4"/>
      <c r="R4" s="4"/>
      <c r="S4" s="4"/>
      <c r="T4" s="4"/>
      <c r="U4" s="4"/>
      <c r="V4" s="4"/>
      <c r="W4" s="2"/>
      <c r="X4" s="2"/>
    </row>
    <row r="5" spans="1:25" x14ac:dyDescent="0.25">
      <c r="A5" s="4"/>
      <c r="B5" s="4"/>
      <c r="C5" s="4"/>
      <c r="D5" s="4"/>
      <c r="E5" s="4"/>
      <c r="F5" s="4"/>
      <c r="G5" s="4"/>
      <c r="H5" s="4"/>
      <c r="I5" s="4"/>
      <c r="J5" s="4"/>
      <c r="K5" s="4"/>
      <c r="L5" s="4"/>
      <c r="M5" s="4"/>
      <c r="N5" s="4"/>
      <c r="O5" s="4"/>
      <c r="P5" s="4"/>
      <c r="Q5" s="4"/>
      <c r="R5" s="4"/>
      <c r="S5" s="4"/>
      <c r="T5" s="4"/>
      <c r="U5" s="4"/>
      <c r="V5" s="4"/>
      <c r="W5" s="2"/>
      <c r="X5" s="2"/>
    </row>
    <row r="6" spans="1:25" x14ac:dyDescent="0.25">
      <c r="A6" s="4"/>
      <c r="B6" s="4"/>
      <c r="C6" s="4"/>
      <c r="D6" s="4"/>
      <c r="E6" s="4"/>
      <c r="F6" s="4"/>
      <c r="G6" s="4"/>
      <c r="H6" s="4"/>
      <c r="I6" s="4"/>
      <c r="J6" s="4"/>
      <c r="K6" s="4"/>
      <c r="L6" s="4"/>
      <c r="M6" s="4"/>
      <c r="N6" s="4"/>
      <c r="O6" s="4"/>
      <c r="P6" s="4"/>
      <c r="Q6" s="4"/>
      <c r="R6" s="4"/>
      <c r="S6" s="4"/>
      <c r="T6" s="4"/>
      <c r="U6" s="4"/>
      <c r="V6" s="4"/>
      <c r="W6" s="2"/>
      <c r="X6" s="2"/>
    </row>
    <row r="7" spans="1:25" x14ac:dyDescent="0.25">
      <c r="A7" s="4"/>
      <c r="B7" s="4"/>
      <c r="C7" s="4"/>
      <c r="D7" s="4"/>
      <c r="E7" s="4"/>
      <c r="F7" s="4"/>
      <c r="G7" s="4"/>
      <c r="H7" s="4"/>
      <c r="I7" s="4"/>
      <c r="J7" s="4"/>
      <c r="K7" s="4"/>
      <c r="L7" s="4"/>
      <c r="M7" s="4"/>
      <c r="N7" s="4"/>
      <c r="O7" s="4"/>
      <c r="P7" s="4"/>
      <c r="Q7" s="4"/>
      <c r="R7" s="4"/>
      <c r="S7" s="4"/>
      <c r="T7" s="4"/>
      <c r="U7" s="4"/>
      <c r="V7" s="4"/>
      <c r="W7" s="2"/>
      <c r="X7" s="2"/>
    </row>
    <row r="8" spans="1:25" x14ac:dyDescent="0.25">
      <c r="A8" s="4"/>
      <c r="B8" s="4"/>
      <c r="C8" s="4"/>
      <c r="D8" s="4"/>
      <c r="E8" s="4"/>
      <c r="F8" s="4"/>
      <c r="G8" s="4"/>
      <c r="H8" s="4"/>
      <c r="I8" s="4"/>
      <c r="J8" s="4"/>
      <c r="K8" s="4"/>
      <c r="L8" s="4"/>
      <c r="M8" s="4"/>
      <c r="N8" s="4"/>
      <c r="O8" s="4"/>
      <c r="P8" s="4"/>
      <c r="Q8" s="4"/>
      <c r="R8" s="4"/>
      <c r="S8" s="4"/>
      <c r="T8" s="4"/>
      <c r="U8" s="4"/>
      <c r="V8" s="4"/>
      <c r="W8" s="2"/>
      <c r="X8" s="2"/>
    </row>
    <row r="9" spans="1:25" ht="9" customHeight="1" x14ac:dyDescent="0.25">
      <c r="A9" s="4"/>
      <c r="B9" s="4"/>
      <c r="C9" s="4"/>
      <c r="D9" s="4"/>
      <c r="E9" s="4"/>
      <c r="F9" s="4"/>
      <c r="G9" s="4"/>
      <c r="H9" s="4"/>
      <c r="I9" s="4"/>
      <c r="J9" s="4"/>
      <c r="K9" s="4"/>
      <c r="L9" s="4"/>
      <c r="M9" s="4"/>
      <c r="N9" s="4"/>
      <c r="O9" s="4"/>
      <c r="P9" s="4"/>
      <c r="Q9" s="4"/>
      <c r="R9" s="4"/>
      <c r="S9" s="4"/>
      <c r="T9" s="4"/>
      <c r="U9" s="4"/>
      <c r="V9" s="4"/>
      <c r="W9" s="2"/>
      <c r="X9" s="2"/>
    </row>
    <row r="10" spans="1:25" ht="20.25" customHeight="1" x14ac:dyDescent="0.35">
      <c r="A10" s="5"/>
      <c r="B10" s="5"/>
      <c r="C10" s="4"/>
      <c r="D10" s="39"/>
      <c r="E10" s="40"/>
      <c r="F10" s="4"/>
      <c r="G10" s="39"/>
      <c r="H10" s="40"/>
      <c r="I10" s="4"/>
      <c r="J10" s="39"/>
      <c r="K10" s="41"/>
      <c r="L10" s="4"/>
      <c r="M10" s="4"/>
      <c r="N10" s="4"/>
      <c r="O10" s="4"/>
      <c r="P10" s="4"/>
      <c r="Q10" s="17" t="s">
        <v>586</v>
      </c>
      <c r="R10" s="17" t="s">
        <v>587</v>
      </c>
      <c r="S10" s="4"/>
      <c r="T10" s="4"/>
      <c r="U10" s="4"/>
      <c r="V10" s="4"/>
      <c r="W10" s="2"/>
      <c r="X10" s="2"/>
    </row>
    <row r="11" spans="1:25" ht="18.75" customHeight="1" x14ac:dyDescent="0.35">
      <c r="A11" s="5"/>
      <c r="B11" s="5"/>
      <c r="C11" s="4"/>
      <c r="D11" s="40"/>
      <c r="E11" s="40"/>
      <c r="F11" s="4"/>
      <c r="G11" s="40"/>
      <c r="H11" s="40"/>
      <c r="I11" s="4"/>
      <c r="J11" s="41"/>
      <c r="K11" s="41"/>
      <c r="L11" s="4"/>
      <c r="M11" s="4"/>
      <c r="N11" s="4"/>
      <c r="O11" s="4"/>
      <c r="P11" s="4"/>
      <c r="Q11" s="13" t="s">
        <v>588</v>
      </c>
      <c r="R11" s="42">
        <v>29510433</v>
      </c>
      <c r="S11" s="4"/>
      <c r="T11" s="4"/>
      <c r="U11" s="4"/>
      <c r="V11" s="4"/>
      <c r="W11" s="2"/>
      <c r="X11" s="2"/>
    </row>
    <row r="12" spans="1:25" ht="21" x14ac:dyDescent="0.35">
      <c r="A12" s="6" t="s">
        <v>2</v>
      </c>
      <c r="B12" s="7" t="s">
        <v>571</v>
      </c>
      <c r="D12" s="6" t="s">
        <v>4</v>
      </c>
      <c r="E12" s="7" t="s">
        <v>571</v>
      </c>
      <c r="G12" s="9" t="s">
        <v>584</v>
      </c>
      <c r="H12" s="10" t="s">
        <v>571</v>
      </c>
      <c r="J12" s="6" t="s">
        <v>7</v>
      </c>
      <c r="K12" s="7" t="s">
        <v>571</v>
      </c>
      <c r="Q12" s="14" t="s">
        <v>589</v>
      </c>
      <c r="R12" s="15">
        <v>8151749.7399999993</v>
      </c>
    </row>
    <row r="13" spans="1:25" ht="21" x14ac:dyDescent="0.35">
      <c r="A13" s="21" t="s">
        <v>27</v>
      </c>
      <c r="B13" s="18">
        <v>3818470</v>
      </c>
      <c r="D13" s="21" t="s">
        <v>29</v>
      </c>
      <c r="E13" s="18">
        <v>3937205</v>
      </c>
      <c r="G13" s="27" t="s">
        <v>572</v>
      </c>
      <c r="H13" s="24">
        <v>791532.5</v>
      </c>
      <c r="J13" s="21" t="s">
        <v>20</v>
      </c>
      <c r="K13" s="18">
        <v>5175369</v>
      </c>
      <c r="Q13" s="14" t="s">
        <v>590</v>
      </c>
      <c r="R13" s="15">
        <v>500</v>
      </c>
    </row>
    <row r="14" spans="1:25" ht="21" x14ac:dyDescent="0.35">
      <c r="A14" s="22" t="s">
        <v>15</v>
      </c>
      <c r="B14" s="19">
        <v>4367437.5</v>
      </c>
      <c r="D14" s="22" t="s">
        <v>17</v>
      </c>
      <c r="E14" s="19">
        <v>2125635.5</v>
      </c>
      <c r="G14" s="28" t="s">
        <v>573</v>
      </c>
      <c r="H14" s="25">
        <v>951488</v>
      </c>
      <c r="J14" s="22" t="s">
        <v>45</v>
      </c>
      <c r="K14" s="19">
        <v>5613447.5</v>
      </c>
      <c r="Q14" s="14" t="s">
        <v>591</v>
      </c>
      <c r="R14" s="15">
        <v>2185</v>
      </c>
    </row>
    <row r="15" spans="1:25" ht="21" x14ac:dyDescent="0.35">
      <c r="A15" s="22" t="s">
        <v>33</v>
      </c>
      <c r="B15" s="19">
        <v>4441412.5</v>
      </c>
      <c r="D15" s="23" t="s">
        <v>23</v>
      </c>
      <c r="E15" s="19">
        <v>9521475</v>
      </c>
      <c r="G15" s="28" t="s">
        <v>574</v>
      </c>
      <c r="H15" s="25">
        <v>1338717.5</v>
      </c>
      <c r="J15" s="23" t="s">
        <v>70</v>
      </c>
      <c r="K15" s="19">
        <v>4795499</v>
      </c>
      <c r="Q15" s="14" t="s">
        <v>592</v>
      </c>
      <c r="R15" s="15">
        <v>59020.866000000002</v>
      </c>
    </row>
    <row r="16" spans="1:25" ht="21" x14ac:dyDescent="0.35">
      <c r="A16" s="23" t="s">
        <v>43</v>
      </c>
      <c r="B16" s="19">
        <v>2956995.5</v>
      </c>
      <c r="D16" s="8" t="s">
        <v>570</v>
      </c>
      <c r="E16" s="20">
        <v>15584315.5</v>
      </c>
      <c r="G16" s="28" t="s">
        <v>575</v>
      </c>
      <c r="H16" s="25">
        <v>437550</v>
      </c>
      <c r="J16" s="8" t="s">
        <v>570</v>
      </c>
      <c r="K16" s="20">
        <v>15584315.5</v>
      </c>
      <c r="Q16" s="14" t="s">
        <v>593</v>
      </c>
      <c r="R16" s="16">
        <v>0.27623280688561902</v>
      </c>
    </row>
    <row r="17" spans="1:21" x14ac:dyDescent="0.25">
      <c r="A17" s="8" t="s">
        <v>570</v>
      </c>
      <c r="B17" s="20">
        <v>15584315.5</v>
      </c>
      <c r="G17" s="28" t="s">
        <v>576</v>
      </c>
      <c r="H17" s="25">
        <v>1626235</v>
      </c>
    </row>
    <row r="18" spans="1:21" x14ac:dyDescent="0.25">
      <c r="G18" s="28" t="s">
        <v>577</v>
      </c>
      <c r="H18" s="25">
        <v>1111772.5</v>
      </c>
    </row>
    <row r="19" spans="1:21" x14ac:dyDescent="0.25">
      <c r="G19" s="28" t="s">
        <v>578</v>
      </c>
      <c r="H19" s="25">
        <v>1337465</v>
      </c>
    </row>
    <row r="20" spans="1:21" x14ac:dyDescent="0.25">
      <c r="G20" s="28" t="s">
        <v>579</v>
      </c>
      <c r="H20" s="25">
        <v>874556</v>
      </c>
    </row>
    <row r="21" spans="1:21" x14ac:dyDescent="0.25">
      <c r="G21" s="28" t="s">
        <v>580</v>
      </c>
      <c r="H21" s="25">
        <v>1075560</v>
      </c>
    </row>
    <row r="22" spans="1:21" x14ac:dyDescent="0.25">
      <c r="G22" s="28" t="s">
        <v>581</v>
      </c>
      <c r="H22" s="25">
        <v>2690503</v>
      </c>
    </row>
    <row r="23" spans="1:21" x14ac:dyDescent="0.25">
      <c r="G23" s="28" t="s">
        <v>582</v>
      </c>
      <c r="H23" s="25">
        <v>1853613.5</v>
      </c>
    </row>
    <row r="24" spans="1:21" x14ac:dyDescent="0.25">
      <c r="G24" s="29" t="s">
        <v>583</v>
      </c>
      <c r="H24" s="25">
        <v>1495322.5</v>
      </c>
    </row>
    <row r="25" spans="1:21" x14ac:dyDescent="0.25">
      <c r="G25" s="11" t="s">
        <v>570</v>
      </c>
      <c r="H25" s="26">
        <v>15584315.5</v>
      </c>
    </row>
    <row r="27" spans="1:21" x14ac:dyDescent="0.25">
      <c r="U27" s="1"/>
    </row>
  </sheetData>
  <mergeCells count="5">
    <mergeCell ref="O1:R3"/>
    <mergeCell ref="A1:N3"/>
    <mergeCell ref="D10:E11"/>
    <mergeCell ref="G10:H11"/>
    <mergeCell ref="J10:K1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Project overview</vt:lpstr>
      <vt:lpstr>project 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Sharma</dc:creator>
  <cp:lastModifiedBy>Arvind Sharma</cp:lastModifiedBy>
  <dcterms:created xsi:type="dcterms:W3CDTF">2026-09-17T11:01:24Z</dcterms:created>
  <dcterms:modified xsi:type="dcterms:W3CDTF">2026-09-22T03:00:04Z</dcterms:modified>
</cp:coreProperties>
</file>